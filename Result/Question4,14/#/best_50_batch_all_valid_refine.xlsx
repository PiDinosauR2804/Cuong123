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#/"/>
    </mc:Choice>
  </mc:AlternateContent>
  <xr:revisionPtr revIDLastSave="0" documentId="13_ncr:1_{06D4BC41-CD27-DF43-BBD4-580A0592DA8A}" xr6:coauthVersionLast="47" xr6:coauthVersionMax="47" xr10:uidLastSave="{00000000-0000-0000-0000-000000000000}"/>
  <bookViews>
    <workbookView xWindow="0" yWindow="1620" windowWidth="28800" windowHeight="16000" xr2:uid="{00000000-000D-0000-FFFF-FFFF00000000}"/>
  </bookViews>
  <sheets>
    <sheet name="50_batch_all_valid_merged_dedup" sheetId="1" r:id="rId1"/>
  </sheets>
  <definedNames>
    <definedName name="_xlnm._FilterDatabase" localSheetId="0" hidden="1">'50_batch_all_valid_merged_dedup'!$A$1:$AG$289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" i="1"/>
</calcChain>
</file>

<file path=xl/sharedStrings.xml><?xml version="1.0" encoding="utf-8"?>
<sst xmlns="http://schemas.openxmlformats.org/spreadsheetml/2006/main" count="1679" uniqueCount="364">
  <si>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</si>
  <si>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</si>
  <si>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</si>
  <si>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</si>
  <si>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</si>
  <si>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</si>
  <si>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</si>
  <si>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</si>
  <si>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</si>
  <si>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</si>
  <si>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</si>
  <si>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</si>
  <si>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</si>
  <si>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</si>
  <si>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</si>
  <si>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</si>
  <si>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</si>
  <si>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</si>
  <si>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</si>
  <si>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</si>
  <si>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</si>
  <si>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</si>
  <si>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</si>
  <si>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</si>
  <si>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</si>
  <si>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</si>
  <si>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</si>
  <si>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</si>
  <si>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best_solution_file</t>
  </si>
  <si>
    <t>best_multi_solution_file</t>
  </si>
  <si>
    <t>log</t>
  </si>
  <si>
    <t>test_data/data_demand_random_50_batch_all1_equal_cluster/C101_0.5.dat</t>
  </si>
  <si>
    <t>C101</t>
  </si>
  <si>
    <t>[[[[0,[11,9,8,10,12,14,13,5,15,4,3,2,1,28,27,26,25,24,23,22]],[11,[]],[9,[]],[8,[31,32,29,30]],[10,[35,36,37,38]],[31,[]],[32,[]],[12,[]],[14,[]],[13,[]],[29,[46,47,48,49]],[30,[]],[46,[]],[47,[]],[48,[]],[49,[]],[5,[]],[15,[]],[4,[]],[3,[]],[2,[]],[1,[]],[35,[]],[36,[]],[37,[]],[28,[]],[27,[]],[38,[]],[26,[]],[25,[]],[24,[]],[23,[]],[22,[]]],[[0,[6,18,19,21,39,40,41,42,43,20,34,33,17,16,7]],[6,[50,45,44]],[18,[]],[19,[]],[21,[]],[39,[]],[40,[]],[41,[]],[42,[]],[43,[]],[50,[]],[20,[]],[44,[]],[45,[]],[34,[]],[33,[]],[17,[]],[16,[]],[7,[]]]],[[[8,[31,32,29,30]]],[[10,[35,36,37,38]]],[[6,[50,45,44]]],[[29,[46,47,48,49]]]]]</t>
  </si>
  <si>
    <t>[[[[0,[11,13,14,12,10,9,8,31,32,30,29,38,36,35,28,27,26,25,24,23,22,4,3,1]],[11,[37]],[13,[]],[14,[]],[12,[]],[10,[]],[9,[]],[8,[]],[31,[]],[32,[]],[30,[]],[29,[48,49]],[48,[]],[49,[]],[37,[]],[38,[]],[36,[]],[35,[]],[28,[]],[27,[]],[26,[]],[25,[]],[24,[]],[23,[]],[22,[]],[4,[]],[3,[]],[1,[]]],[[0,[21,39,40,41,42,43,50,20,19,18,17,47,46,45,44,34,33,16,15,7,5,2]],[6,[6]],[21,[]],[39,[]],[40,[]],[41,[]],[42,[]],[43,[]],[50,[]],[20,[]],[19,[]],[18,[]],[17,[]],[47,[]],[46,[]],[45,[]],[44,[]],[34,[]],[33,[]],[16,[]],[15,[]],[7,[]],[5,[]],[2,[]]]],[[[11,[37]],[6,[6]]],[[29,[48,49]]]]]</t>
  </si>
  <si>
    <t>cluster</t>
  </si>
  <si>
    <t>50_batch_all_valid_dedup_recomputed.csv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</si>
  <si>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</si>
  <si>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</si>
  <si>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[6,5,7,18,19,20,21,36,35,28,37,38,27,26,25,24,23,22]],[6,[43,42,39,41,40]],[5,[]],[7,[]],[18,[]],[19,[]],[20,[50]],[50,[]],[43,[]],[42,[]],[39,[]],[21,[]],[41,[]],[40,[]],[36,[]],[35,[]],[28,[]],[37,[]],[38,[]],[27,[]],[26,[]],[25,[]],[24,[]],[23,[]],[22,[]]],[[0,[2,3,4,15,16,17,33,34,30,29,13,14,12,32,31,10,9,8,11]],[1,[1]],[2,[]],[3,[]],[4,[44,45,46,47,48,49]],[15,[]],[16,[]],[17,[]],[33,[]],[34,[]],[44,[]],[45,[]],[46,[]],[47,[]],[48,[]],[49,[]],[30,[]],[29,[]],[13,[]],[14,[]],[12,[]],[32,[]],[31,[]],[10,[]],[9,[]],[8,[]],[11,[]]]],[[[1,[1]],[6,[43,42,39,41,40]]],[[4,[44,45,46,47,48,49]]],[[20,[50]]]]]</t>
  </si>
  <si>
    <t>[[[[0,[4,3,1]],[11,[11,14,8,13,12,10,9]],[14,[]],[8,[28,27,26,25,24,23,22]],[13,[]],[12,[36,35,37,38,32,31,29,30]],[32,[]],[31,[]],[10,[]],[9,[]],[29,[]],[30,[]],[48,[47,48,49]],[47,[]],[49,[]],[4,[]],[3,[]],[1,[]],[36,[]],[35,[]],[28,[]],[37,[]],[38,[]],[27,[]],[26,[]],[25,[]],[24,[]],[23,[]],[22,[]]],[[0,[2,7,6]],[2,[18,17,21,20,19,16,15]],[5,[5]],[7,[]],[18,[]],[17,[]],[21,[]],[39,[50,44,39,40,41,42,43,46]],[40,[]],[41,[]],[42,[]],[43,[]],[50,[]],[20,[34,33]],[19,[]],[44,[]],[34,[]],[45,[45]],[46,[]],[33,[]],[16,[]],[15,[]],[6,[]]]],[[[2,[18,17,21,20,19,16,15]]],[[11,[11,14,8,13,12,10,9]],[5,[5]]],[[8,[28,27,26,25,24,23,22]]],[[12,[36,35,37,38,32,31,29,30]]],[[39,[50,44,39,40,41,42,43,46]]],[[48,[47,48,49]]],[[20,[34,33]]],[[45,[45]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</si>
  <si>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</si>
  <si>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</si>
  <si>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</si>
  <si>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[4,5,9,3,1,7,6,2,8]],[4,[]],[5,[]],[9,[]],[3,[]],[1,[]],[7,[]],[6,[19,18,15,14]],[19,[]],[18,[13,12]],[15,[]],[14,[]],[2,[]],[8,[]],[21,[21,24,20,26]],[26,[]],[25,[25,27]],[12,[]],[24,[]],[13,[]],[20,[]],[22,[50,22]],[27,[]],[44,[45,46,35,44]],[45,[]],[50,[]],[47,[49,48,47,34]],[49,[]],[48,[]],[46,[]],[35,[]],[34,[]]],[[0,[10,11,36,37,38,33,29,28,30,32,31,17,16]],[10,[]],[11,[]],[23,[23,40]],[36,[43,42,41,39]],[37,[]],[43,[]],[42,[]],[41,[]],[39,[]],[38,[]],[40,[]],[33,[]],[29,[]],[28,[]],[30,[]],[32,[]],[31,[]],[17,[]],[16,[]]]],[[[6,[19,18,15,14]]],[[18,[13,12]]],[[21,[21,24,20,26]]],[[23,[23,40]],[25,[25,27]]],[[36,[43,42,41,39]]],[[22,[50,22]]],[[44,[45,46,35,44]]],[[47,[49,48,47,34]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</si>
  <si>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</si>
  <si>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</si>
  <si>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</si>
  <si>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</si>
  <si>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</si>
  <si>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</si>
  <si>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[5,6,7,9,8,10,3,4,2,1,19,18,17,16]],[5,[]],[6,[]],[7,[]],[9,[]],[8,[25,26,24,27]],[10,[]],[3,[]],[4,[]],[2,[]],[1,[39,40,41,42]],[25,[]],[26,[]],[39,[]],[19,[]],[18,[]],[17,[]],[16,[38,37,36,35]],[24,[]],[27,[]],[40,[]],[41,[]],[38,[]],[37,[]],[36,[]],[42,[]],[50,[50,33,34]],[49,[49,48]],[48,[]],[35,[]],[34,[]],[33,[]]],[[0,[20,21,30,31,32,47,43,44,45,46,23,22,15,29,28,13,12,11,14]],[20,[]],[21,[]],[30,[]],[31,[]],[32,[]],[47,[]],[43,[]],[44,[]],[45,[]],[46,[]],[23,[]],[22,[]],[15,[]],[29,[]],[28,[]],[13,[]],[12,[]],[11,[]],[14,[]]]],[[[8,[25,26,24,27]]],[[1,[39,40,41,42]]],[[16,[38,37,36,35]]],[[50,[50,33,34]]],[[49,[49,48]]]]]</t>
  </si>
  <si>
    <t>[[[[0,[10,1,24,16,18,19,17,26,27,25,38,37,36,35,34,33]],[10,[39,40,41,42]],[1,[]],[24,[]],[16,[]],[18,[50,49,48]],[19,[]],[39,[]],[17,[]],[26,[]],[27,[]],[40,[]],[41,[]],[25,[]],[38,[]],[37,[]],[36,[]],[42,[]],[50,[]],[49,[]],[48,[]],[35,[]],[34,[]],[33,[]]],[[0,[3,6,5,7,9,8,4,2,14,15,13,12,11]],[3,[]],[6,[]],[5,[]],[7,[]],[9,[30,31,32]],[8,[20,23,22]],[4,[]],[2,[]],[14,[]],[20,[]],[21,[21]],[30,[]],[31,[43,44,45,46]],[32,[]],[44,[]],[47,[47,29]],[43,[]],[45,[]],[46,[28]],[23,[]],[22,[]],[15,[]],[29,[]],[28,[]],[13,[]],[12,[]],[11,[]]]],[[[9,[30,31,32]]],[[8,[20,23,22]]],[[10,[39,40,41,42]]],[[21,[21]],[18,[50,49,48]]],[[31,[43,44,45,46]]],[[47,[47,29]]],[[46,[28]]]]]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</si>
  <si>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</si>
  <si>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best_solution.csv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</si>
  <si>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</si>
  <si>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</si>
  <si>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test_data/data_demand_random_50_batch_all1_equal_cluster/C101_2.5.dat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</si>
  <si>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],[[28,[50,49,48,39]]],[[2,[33,32]]],[[8,[43,42,41,40]]],[[24,[47,46,45,44]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</si>
  <si>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</si>
  <si>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</si>
  <si>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[3,2,4,33,9,7,6,8,40,41,42,43,23,22,24,25,14,26,12,13]],[3,[]],[2,[]],[4,[]],[33,[]],[9,[]],[7,[]],[6,[]],[8,[44,45,46,47,39,10,11]],[40,[]],[41,[]],[42,[]],[43,[]],[44,[]],[45,[]],[46,[]],[47,[]],[23,[]],[22,[]],[24,[]],[25,[]],[14,[]],[39,[]],[26,[]],[12,[]],[10,[]],[11,[]],[13,[]]],[[0,[15,16,17,18,19,20,30,29,21,27,28,31,50,37,36,48,49,38,35,34,32,5,1]],[15,[]],[16,[]],[17,[]],[18,[]],[19,[]],[20,[]],[30,[]],[29,[]],[21,[]],[27,[]],[28,[]],[31,[]],[50,[]],[37,[]],[36,[]],[48,[]],[49,[]],[38,[]],[35,[]],[34,[]],[32,[]],[5,[]],[1,[]]]],[[[8,[44,45,46,47,39,11,10]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</si>
  <si>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</si>
  <si>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test_data/data_demand_random_50_batch_all1_equal_cluster/C101_2.dat</t>
  </si>
  <si>
    <t>[[[[0,[29,17,28,14,15,16,13,1,7,33,38,39,40,41,32]],[29,[]],[17,[]],[28,[]],[14,[]],[15,[]],[16,[]],[13,[48,47,46]],[1,[]],[7,[]],[33,[]],[38,[]],[39,[]],[40,[]],[41,[]],[48,[]],[47,[]],[46,[]],[32,[]]],[[0,[2,3,10,9,4,8,11,12]],[5,[5]],[2,[]],[3,[6]],[6,[20,18,19,21]],[19,[]],[10,[]],[9,[26,27,23,22]],[4,[]],[22,[31,30,24]],[23,[]],[8,[35,34,36,37]],[18,[]],[20,[]],[21,[]],[31,[]],[30,[]],[11,[]],[12,[43,42,45,44]],[26,[]],[27,[]],[35,[]],[34,[49,50,25]],[36,[]],[43,[]],[37,[]],[42,[]],[49,[]],[50,[]],[45,[]],[44,[]],[25,[]],[24,[]]]],[[[5,[5]]],[[3,[6]]],[[6,[20,18,19,21]]],[[9,[26,27,23,22]]],[[22,[31,30,24]]],[[8,[35,34,36,37]]],[[13,[48,47,46]]],[[12,[43,42,45,44]]],[[34,[49,50,25]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</si>
  <si>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</si>
  <si>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[49,50]],[50,[]],[45,[]],[44,[]]]],[[[23,[30,31,26,27]]],[[9,[29,28]],[8,[8]]],[[2,[36,37,33,32]]],[[31,[35,34]]],[[11,[43,42,45,44]]],[[37,[48,47,46,38]]],[[39,[39,40,41]]],[[49,[49,50]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</si>
  <si>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</si>
  <si>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</si>
  <si>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</si>
  <si>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test_data/data_demand_random_50_batch_all1_equal_cluster/C101_3.dat</t>
  </si>
  <si>
    <t>[[[[0,[2,3,5,7,6,34,35,36,49,50,42,38,37,41,40,39,29,21,20,19,18,17,28,27,26,16]],[2,[]],[3,[]],[5,[]],[7,[]],[6,[]],[34,[]],[35,[]],[36,[]],[49,[]],[50,[]],[42,[]],[38,[]],[37,[]],[41,[]],[40,[]],[39,[]],[29,[]],[21,[]],[20,[]],[19,[]],[18,[]],[17,[]],[28,[]],[27,[]],[26,[]],[16,[]]],[[0,[14,15,31,30,11,12,13,24,25,23,22,47,48,46,45,44,43,33,32,10,8,9,4,1]],[14,[]],[15,[]],[31,[]],[30,[]],[11,[]],[12,[]],[13,[]],[24,[]],[25,[]],[23,[]],[22,[]],[47,[]],[48,[]],[46,[]],[45,[]],[44,[]],[43,[]],[33,[]],[32,[]],[10,[]],[8,[]],[9,[]],[4,[]],[1,[]]]],[]]</t>
  </si>
  <si>
    <t>[[[[0,[4,3,10,8,7,6,1,21,20,19,18,17,28,29,27,26,16]],[4,[33,32]],[3,[]],[10,[]],[8,[]],[7,[]],[6,[]],[1,[]],[21,[]],[20,[]],[19,[]],[18,[]],[17,[]],[28,[]],[29,[]],[27,[]],[26,[41,37,36]],[16,[]],[39,[40,39,35,34]],[34,[]],[35,[]],[36,[]],[37,[48,47,38]],[38,[]],[41,[]],[40,[]],[33,[]],[32,[]],[48,[]],[47,[]]],[[0,[9,5,2,22,13,12,11,24,25,23,15,14]],[9,[31,30]],[5,[]],[2,[]],[22,[]],[13,[]],[12,[]],[11,[]],[24,[]],[25,[]],[23,[]],[15,[]],[31,[]],[30,[]],[14,[]],[46,[46]],[45,[45,44,43,49]],[44,[]],[43,[]],[49,[]],[50,[50]],[42,[42]]]],[[[4,[33,32]],[9,[31,30]]],[[26,[41,37,36]]],[[39,[40,39,35,34]]],[[46,[46]]],[[37,[48,47,38]]],[[45,[45,44,43,49]]],[[50,[50]]],[[42,[42]]]]]</t>
  </si>
  <si>
    <t>[[[[0,[3,10,8,7,6,1,21,20,19,18,17,28,29,27,26,16,33,32]],[4,[4]],[3,[37,38]],[10,[]],[8,[]],[7,[]],[6,[]],[1,[]],[21,[]],[20,[]],[19,[]],[18,[]],[17,[]],[28,[]],[29,[]],[27,[]],[26,[41,40,39]],[16,[]],[39,[]],[37,[48,47]],[38,[]],[41,[]],[40,[]],[33,[]],[32,[]],[48,[]],[47,[]]],[[0,[9,5,2,15,13,12,11,24,25,22]],[9,[]],[5,[]],[2,[]],[15,[]],[13,[31,30]],[12,[]],[11,[]],[24,[]],[25,[]],[23,[23]],[22,[]],[31,[]],[30,[]],[14,[14]],[46,[46,35]],[45,[45,44,43,34]],[44,[]],[43,[]],[34,[]],[35,[]],[36,[50,42,36,49]],[49,[]],[50,[]],[42,[]]]],[[[13,[31,30]],[4,[4]]],[[3,[37,38]],[23,[23]]],[[14,[14]],[26,[41,40,39]]],[[46,[46,35]]],[[37,[48,47]]],[[45,[45,44,43,34]]],[[36,[50,42,36,49]]]]]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</si>
  <si>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</si>
  <si>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</si>
  <si>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</si>
  <si>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</si>
  <si>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test_data/data_demand_random_50_batch_all1_equal_cluster/C201_0.5.dat</t>
  </si>
  <si>
    <t>C201</t>
  </si>
  <si>
    <t>[[[[0,[14,17,16,15,12,13,33,34,29,28,35,36,37,4,2,1]],[14,[]],[31,[31,32,27,38]],[32,[]],[17,[]],[16,[]],[15,[]],[12,[]],[13,[]],[27,[48,47,49,30]],[33,[]],[34,[]],[48,[]],[47,[]],[49,[]],[38,[]],[30,[]],[29,[]],[28,[]],[35,[]],[36,[]],[37,[]],[19,[19]],[4,[]],[2,[]],[1,[]]],[[0,[5,9,6,7,8,25,40,39,26,23,24,41,42,22,20,3,11,10]],[5,[46,45,44,43]],[9,[]],[6,[]],[7,[]],[8,[]],[25,[]],[40,[]],[39,[]],[26,[]],[23,[]],[24,[50,21,18]],[41,[]],[42,[]],[50,[]],[46,[]],[45,[]],[44,[]],[43,[]],[22,[]],[21,[]],[20,[]],[18,[]],[3,[]],[11,[]],[10,[]]]],[[[31,[31,32,27,38]]],[[5,[46,45,44,43]]],[[24,[50,21,18]]],[[27,[48,49,47,30]]],[[19,[19]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</si>
  <si>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</si>
  <si>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</si>
  <si>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[2,1]],[10,[10,11,9,6,8,5,7]],[11,[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[14,[14,16,15,13,17]]],[[5,[20,24,23,25,26,39,21,22]]],[[31,[31,32,27,33,19]]],[[20,[50,46,45,44,43,40,41,42]]],[[27,[48,47,49,28,34,38,30,29]]],[[28,[35,36,37,18]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</si>
  <si>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</si>
  <si>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test_data/data_demand_random_50_batch_all1_equal_cluster/C201_1.5.dat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</si>
  <si>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</si>
  <si>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</si>
  <si>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[21]],[35,[35,33,32,34,27]],[33,[]],[32,[]],[34,[36,42,41,40,37,38,39]],[18,[]],[21,[50,49,48,47,46]],[36,[]],[50,[]],[49,[]],[42,[]],[41,[]],[40,[]],[37,[]],[38,[]],[39,[]],[48,[]],[47,[]],[46,[]],[27,[]]]],[[[13,[13,11,14,10]],[12,[12]]],[[19,[19,20,17,18]]],[[8,[23,24,22,15,16,9]]],[[17,[21]],[22,[29,28,26,30,31,25]]],[[35,[35,33,32,34,27]]],[[34,[36,42,41,40,37,38,39]]],[[16,[44,45,43]]],[[21,[50,49,48,47,46]]]]]</t>
  </si>
  <si>
    <t>[[[[0,[]],[22,[22,17,18,19,20,21,23]],[23,[]],[19,[4]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[22,17,18,19,20,21,23]],[12,[12]]],[[10,[10,16,13,9,15,14,11]],[19,[4]]],[[29,[29,31,30,25,27,26,28]]],[[32,[32,33,34,35,36]]],[[18,[42,41,24]]],[[50,[50,49,40,37,38,39]]],[[48,[48,47,46,43,44,45]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</si>
  <si>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</si>
  <si>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test_data/data_demand_random_50_batch_all1_equal_cluster/C201_1.dat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</si>
  <si>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</si>
  <si>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[8,7,1,4]],[8,[]],[7,[]],[1,[]],[4,[]],[21,[21,19,17,18]],[19,[]],[17,[]],[18,[]],[32,[32,33,34,35]],[33,[]],[34,[]],[35,[]],[20,[20,30,31]],[42,[42,41,40,38]],[41,[]],[40,[]],[38,[]],[39,[39,50,49,48]],[30,[]],[50,[]],[49,[]],[48,[]],[31,[]],[27,[27,26,25,2]],[26,[]],[25,[]],[2,[]]],[[0,[5,6,3]],[11,[11,10,9,12]],[10,[]],[9,[]],[12,[]],[14,[14,13,24,23]],[13,[]],[28,[28,29,15,22]],[29,[]],[5,[]],[6,[]],[22,[]],[37,[37,44,43,16]],[24,[]],[23,[]],[44,[]],[43,[]],[36,[36]],[3,[]],[15,[]],[16,[]],[45,[45,46,47]],[46,[]],[47,[]]]],[[[11,[11,10,9,12]]],[[21,[21,19,17,18]]],[[14,[14,13,24,23]]],[[28,[28,29,15,22]]],[[32,[32,33,34,35]]],[[37,[37,44,43,16]]],[[36,[36]],[20,[20,30,31]]],[[42,[42,41,40,38]]],[[45,[45,46,47]]],[[39,[39,50,49,48]]],[[27,[27,26,25,2]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</si>
  <si>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</si>
  <si>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</si>
  <si>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</si>
  <si>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[[[[0,[5,6,4,3,2,7]],[5,[]],[6,[]],[4,[]],[3,[]],[2,[]],[7,[]],[20,[20,19,21,18,17,24,22]],[19,[]],[21,[]],[18,[]],[17,[8]],[32,[32,33,34,35,43,44,36,42]],[33,[]],[34,[]],[35,[]],[23,[23]],[44,[]],[36,[]],[43,[]],[42,[]],[41,[41,40,37]],[40,[]],[24,[]],[37,[]],[22,[]],[8,[]]],[[0,[1]],[1,[]],[9,[9,12,16,11,10,14,15,13]],[12,[]],[16,[]],[11,[]],[10,[]],[14,[]],[15,[]],[25,[25,28,31,30,29,27,26]],[28,[]],[31,[]],[30,[]],[29,[]],[38,[38,39]],[39,[]],[50,[50,49,48,45,46,47]],[49,[]],[48,[]],[27,[]],[26,[]],[13,[]],[45,[]],[46,[]],[47,[]]]],[[[9,[9,12,16,11,10,14,15,13]]],[[20,[20,19,21,18,17,24,22]]],[[25,[25,28,31,30,29,27,26]],[17,[8]]],[[32,[32,33,34,35,43,44,36,42]]],[[38,[38,39]]],[[50,[50,49,48,45,46,47]],[23,[23]]],[[41,[41,40,37]]]]]</t>
  </si>
  <si>
    <t>test_data/data_demand_random_50_batch_all1_equal_cluster/C201_2.5.dat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</si>
  <si>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</si>
  <si>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[7,[7,8,10]],[9,[9]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</si>
  <si>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</si>
  <si>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[18,22,20,21,17,15]],[22,[]],[20,[]],[21,[]],[19,[]],[17,[]],[28,[28,33,31,32,34,35,30,29]],[33,[]],[31,[]],[32,[]],[34,[]],[35,[]],[30,[]],[15,[43,42]],[43,[]],[42,[]],[29,[48,47]],[48,[]],[47,[]],[3,[]]],[[0,[4,5,2,6,1]],[4,[]],[5,[]],[9,[9,7,13,16,10,12,11,8]],[7,[]],[13,[]],[2,[]],[16,[]],[10,[]],[23,[23,24,25,26,27,14]],[24,[]],[25,[]],[26,[]],[27,[]],[12,[]],[11,[]],[8,[]],[14,[]],[6,[44,41,38,37,36,39,46,45]],[44,[]],[41,[]],[38,[]],[37,[]],[36,[50,49,40]],[39,[]],[50,[]],[49,[]],[46,[]],[45,[]],[40,[]],[1,[]]]],[[[9,[9,7,16,10,12,11,8,13]]],[[18,[18,20,21,22,17,15]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</si>
  <si>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</si>
  <si>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[5]],[12,[12,10]],[8,[8]],[16,[14,16]],[14,[3]],[3,[]],[10,[]],[27,[27,26,25]],[26,[]],[25,[]],[24,[24,23,29]],[23,[]],[1,[1]],[29,[]],[36,[36,40,45,46,38,37,39]],[37,[]],[46,[]],[45,[]],[38,[]],[39,[]],[50,[50,49,41]],[49,[]],[41,[]],[40,[]],[5,[]]],[[0,[2,4,6]],[2,[]],[9,[9,7]],[7,[]],[11,[11]],[13,[13,15]],[15,[]],[18,[17,22,21,20,19,18]],[19,[]],[20,[]],[21,[]],[22,[]],[17,[]],[4,[]],[6,[]],[30,[30,31,34,32,33,35,28]],[31,[]],[34,[]],[28,[]],[44,[44,43,42]],[43,[]],[42,[]],[32,[]],[33,[]],[35,[]],[48,[48,47]],[47,[]]]],[[[12,[12,10]],[9,[9,7]]],[[11,[11]],[8,[8]]],[[16,[14,16]],[13,[13,15]]],[[14,[3]],[18,[17,22,21,20,19,18]]],[[27,[27,26,25]]],[[24,[24,23,29]]],[[30,[30,31,34,32,33,35,28]],[1,[1]]],[[36,[36,40,45,46,38,37,39]]],[[44,[44,43,42]]],[[50,[50,49,41]]],[[48,[48,47]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</si>
  <si>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</si>
  <si>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</si>
  <si>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</si>
  <si>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</si>
  <si>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[6]],[18,[18,19,14,16]],[19,[]],[14,[2]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,[14,[2]]],[[15,[15,13,12,11]]],[[20,[20,22,24,23]]],[[21,[21,25]]],[[28,[28,26,27,29]]],[[32,[32,33,31,34]]],[[35,[35,36,37]]],[[41,[41,40,39,38]]],[[50,[50,45,46,47]]],[[42,[42,43,49,44]]],[[48,[48,30]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</si>
  <si>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</si>
  <si>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]],[11,[11,8,15,17,18]],[8,[6]],[15,[]],[6,[]],[21,[21,22,24,25,23]],[17,[]],[18,[]],[31,[31,32,33,34,37,36,35]],[32,[]],[33,[]],[34,[]],[22,[]],[24,[]],[25,[]],[37,[]],[36,[]],[35,[]],[50,[50,45,46,47]],[23,[]],[45,[]],[46,[]],[47,[]]]],[[[19,[19]],[11,[11,8,15,17,18]]],[[14,[14,16,7,10,9,12]],[8,[6]]],[[20,[20]]],[[21,[21,22,24,25,23]]],[[26,[26,28,30,27,13]]],[[31,[31,32,33,34,37,36,35]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</si>
  <si>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</si>
  <si>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test_data/data_demand_random_50_batch_all1_equal_cluster/C201_3.dat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</si>
  <si>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</si>
  <si>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</si>
  <si>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</si>
  <si>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[2,1,3,4,5,22,15,14,16,18,19,17,20,27,26,23,24,25,32,33,34,13,8,9]],[2,[]],[1,[]],[3,[]],[4,[]],[5,[]],[22,[]],[15,[]],[14,[]],[16,[]],[18,[]],[36,[36,37,38,39]],[37,[]],[38,[]],[39,[]],[19,[]],[17,[]],[20,[]],[27,[]],[26,[]],[23,[]],[24,[]],[25,[]],[32,[]],[33,[]],[34,[]],[10,[10,47,48,49]],[47,[]],[49,[]],[48,[]],[13,[]],[8,[]],[9,[]]],[[0,[21,42,40,41,44,43,45,28,35,46,30,29,31]],[21,[]],[42,[]],[40,[]],[41,[]],[44,[]],[43,[]],[45,[]],[28,[50]],[35,[]],[50,[]],[46,[]],[30,[]],[29,[]],[31,[]],[12,[12,11,6]],[11,[]],[7,[7]],[6,[]]]],[[[36,[36,37,38,39]]],[[28,[50]],[10,[10,47,48,49]]],[[12,[12,11,6]]],[[7,[7]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</si>
  <si>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</si>
  <si>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[1]],[14,[14,16]],[16,[]],[23,[23,26]],[26,[]],[20,[20,17,24,25]],[22,[22]],[17,[]],[36,[36,37,38,39]],[37,[]],[38,[]],[39,[]],[43,[43,44,45,46]],[44,[]],[45,[]],[24,[]],[25,[]],[46,[]],[50,[50,35,33]],[35,[]],[33,[]],[1,[]]],[[0,[4,2,5]],[7,[7,6]],[9,[9,8,12,13]],[8,[]],[12,[]],[13,[]],[6,[]],[19,[19,18,21]],[18,[]],[3,[3]],[4,[]],[2,[]],[11,[15,10,11]],[5,[]],[32,[32,31,34,29]],[31,[]],[30,[30,27]],[34,[]],[29,[]],[28,[28,41,40]],[27,[]],[41,[]],[40,[]],[42,[42]],[21,[]],[15,[]],[10,[]],[47,[47,48,49]],[48,[]],[49,[]]]],[[[7,[7,6]]],[[9,[9,8,12,13]]],[[19,[19,18,21]],[14,[14,16]]],[[3,[3]],[23,[23,26]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</si>
  <si>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test_data/data_demand_random_50_batch_all1_equal_cluster/R101_0.5.dat</t>
  </si>
  <si>
    <t>R101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</si>
  <si>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</si>
  <si>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</si>
  <si>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test_data/data_demand_random_50_batch_all1_equal_cluster/R101_1.5.dat</t>
  </si>
  <si>
    <t>[[[[0,[2,4,3,1]],[2,[]],[9,[6,12,9]],[6,[]],[4,[]],[17,[17]],[16,[16]],[3,[26,25,20,21]],[25,[]],[26,[]],[27,[24,22,27]],[15,[37,38,14,15]],[14,[33,32,34,31]],[20,[]],[21,[]],[24,[]],[22,[]],[12,[45,48,47,46]],[37,[]],[38,[]],[33,[]],[32,[]],[31,[]],[34,[]],[46,[]],[47,[]],[48,[]],[45,[]],[1,[]]],[[0,[18,28,29,7,5,10,11,13,23,19]],[18,[]],[28,[]],[29,[]],[7,[]],[5,[39,35,41,40]],[41,[]],[40,[]],[30,[50,49,30,36]],[8,[44,42,43,8]],[36,[]],[35,[]],[43,[]],[42,[]],[39,[]],[44,[]],[10,[]],[11,[]],[13,[]],[23,[]],[50,[]],[49,[]],[19,[]]]],[[[9,[6,12,9]]],[[17,[17]]],[[16,[16]]],[[3,[26,25,20,21]]],[[27,[24,22,27]]],[[15,[37,38,14,15]]],[[14,[33,32,34,31]]],[[12,[45,48,47,46]]],[[5,[39,35,41,40]]],[[30,[50,49,30,36]]],[[8,[44,42,43,8]]]]]</t>
  </si>
  <si>
    <t>[[[[0,[7,12,13,22,23,24,21,20,1,19,9,33,32,34,31,30]],[7,[]],[12,[37,38]],[13,[]],[22,[]],[23,[]],[24,[]],[21,[]],[20,[]],[1,[45,48,47,46]],[19,[]],[9,[]],[6,[6]],[37,[]],[38,[]],[33,[]],[32,[]],[45,[]],[48,[]],[47,[]],[46,[]],[34,[]],[31,[]],[30,[]]],[[0,[2,4,5,8,3,15,17,18,16,29,28,27,14,10,11,26,25]],[2,[]],[4,[]],[5,[]],[8,[]],[3,[]],[15,[]],[17,[]],[18,[]],[16,[44,42,43,41]],[29,[]],[28,[]],[27,[]],[14,[]],[40,[40,36,35]],[41,[]],[36,[]],[35,[]],[39,[39]],[44,[]],[42,[]],[43,[]],[10,[]],[11,[]],[50,[50,49]],[49,[]],[26,[]],[25,[]]]],[[[12,[37,38]]],[[1,[45,48,47,46]]],[[16,[44,42,43,41]]],[[6,[6]],[40,[40,36,35]]],[[39,[39]]],[[50,[50,49]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</si>
  <si>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</si>
  <si>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test_data/data_demand_random_50_batch_all1_equal_cluster/R101_1.dat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</si>
  <si>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</si>
  <si>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</si>
  <si>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</si>
  <si>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</si>
  <si>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</si>
  <si>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</si>
  <si>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</si>
  <si>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test_data/data_demand_random_50_batch_all1_equal_cluster/R101_2.5.dat</t>
  </si>
  <si>
    <t>[[[[0,[1,2,5,3,4,22,17,18,20,31,26,29,14,12,11,10,9,25,24,7]],[1,[]],[2,[]],[5,[]],[3,[]],[4,[]],[22,[]],[17,[]],[18,[27,34,32,37]],[20,[]],[34,[]],[33,[33,35]],[31,[]],[35,[]],[27,[]],[26,[]],[29,[]],[14,[]],[12,[]],[11,[]],[10,[43,44]],[9,[]],[32,[]],[25,[]],[24,[]],[37,[48,49]],[48,[]],[49,[]],[44,[]],[43,[]],[7,[]]],[[0,[15,13,21,16,19,23,6,8]],[15,[]],[13,[28,30]],[28,[28,28]],[30,[30,30]],[21,[]],[16,[]],[19,[36,38]],[36,[]],[23,[42,39,40,41]],[42,[]],[40,[]],[41,[]],[39,[]],[6,[47,46,45,50]],[38,[]],[47,[]],[50,[]],[46,[]],[45,[]],[8,[]]]],[[[13,[28,30]]],[[18,[27,34,32,37]]],[[33,[33,35]]],[[10,[43,44]]],[[19,[36,38]]],[[23,[42,39,40,41]]],[[37,[48,49]]],[[6,[47,46,45,50]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</si>
  <si>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</si>
  <si>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</si>
  <si>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[[[[0,[11,10,9,8,4,23,22,19,24,15,28,30,29,26,25]],[11,[]],[10,[]],[9,[]],[8,[]],[4,[]],[23,[]],[22,[]],[19,[]],[24,[]],[15,[]],[28,[44,38,37,35]],[30,[]],[29,[]],[26,[]],[25,[]],[37,[]],[38,[]],[44,[1]],[43,[43]],[35,[]],[1,[]]],[[0,[7,5,6,3,2,13,14,12]],[7,[]],[5,[21,20,17,16]],[6,[]],[3,[]],[2,[]],[13,[]],[14,[]],[12,[]],[27,[27,18]],[21,[32,33,34,36,31]],[20,[]],[18,[]],[17,[]],[16,[]],[32,[]],[31,[]],[33,[]],[34,[]],[36,[39,42,40,41]],[39,[]],[42,[]],[40,[]],[41,[]],[49,[49,48]],[48,[]],[50,[50,47,46,45]],[47,[]],[46,[]],[45,[]]]],[[[28,[44,38,37,35]]],[[5,[21,20,17,16]]],[[27,[27,18]]],[[21,[32,33,34,36,31]]],[[36,[39,42,40,41]]],[[44,[1]],[49,[49,48]]],[[43,[43]]],[[50,[50,47,46,45]]]]]</t>
  </si>
  <si>
    <t>[[[[0,[2,17,16,25,15,28,30,29,14,13,10,9,3,22,19,18,20,21,27,26,31,8,6,7]],[2,[]],[17,[]],[16,[]],[25,[]],[15,[]],[28,[]],[30,[]],[29,[]],[14,[]],[13,[]],[10,[]],[9,[]],[3,[]],[22,[]],[19,[]],[18,[]],[20,[]],[21,[]],[34,[34,33,35]],[33,[]],[35,[]],[27,[]],[26,[32,49,43,38]],[31,[]],[32,[]],[8,[]],[5,[5]],[6,[]],[43,[]],[49,[]],[38,[]],[7,[]]],[[0,[4,23,36,42,39,40,41,44,37,11,12,24,1]],[4,[]],[23,[]],[36,[]],[42,[]],[39,[]],[40,[]],[41,[]],[44,[]],[48,[46,45,47,48]],[50,[50]],[47,[]],[46,[]],[45,[]],[37,[]],[11,[]],[12,[]],[24,[]],[1,[]]]],[[[34,[34,33,35]]],[[26,[32,49,43,38]]],[[48,[46,45,47,48]]],[[50,[50]],[5,[5]]]]]</t>
  </si>
  <si>
    <t>test_data/data_demand_random_50_batch_all1_equal_cluster/R101_2.dat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</si>
  <si>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</si>
  <si>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[2,3,4,11,9,28,27,26,7,8,6,5,23,24,20,19,18]],[2,[]],[3,[]],[4,[]],[11,[]],[30,[30]],[9,[]],[34,[34,35,38]],[35,[]],[28,[]],[27,[]],[26,[]],[7,[]],[8,[22]],[6,[]],[5,[50,44]],[22,[]],[38,[]],[50,[]],[23,[]],[24,[45,46,49,17]],[17,[]],[49,[]],[46,[21]],[45,[]],[44,[]],[21,[]],[20,[]],[19,[]],[18,[]]],[[0,[13,12,33,31,32,29,36,37,25,16,15,14,1]],[13,[42,41,39,40]],[12,[]],[10,[10,43]],[43,[]],[42,[]],[41,[]],[39,[]],[40,[]],[33,[]],[31,[]],[32,[]],[29,[]],[36,[]],[37,[]],[25,[47,48]],[47,[]],[48,[]],[16,[]],[15,[]],[14,[]],[1,[]]]],[[[13,[42,41,39,40]]],[[30,[30]]],[[34,[34,35,38]]],[[10,[10,43]],[8,[22]]],[[5,[50,44]]],[[24,[45,46,49,17]]],[[46,[21]],[25,[47,48]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</si>
  <si>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</si>
  <si>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</si>
  <si>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</si>
  <si>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</si>
  <si>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</si>
  <si>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test_data/data_demand_random_50_batch_all1_equal_cluster/R101_3.dat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</si>
  <si>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</si>
  <si>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</si>
  <si>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</si>
  <si>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</si>
  <si>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test_data/data_demand_random_50_batch_all1_equal_cluster/RC101_0.5.dat</t>
  </si>
  <si>
    <t>RC101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</si>
  <si>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</si>
  <si>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</si>
  <si>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</si>
  <si>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</si>
  <si>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</si>
  <si>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</si>
  <si>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</si>
  <si>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</si>
  <si>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</si>
  <si>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</si>
  <si>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</si>
  <si>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</si>
  <si>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[6,5,4,3,16,17,18,38,39,40,14,13,15,28,43,42,44,29,27,26]],[6,[46,47,45]],[5,[]],[4,[]],[3,[]],[16,[]],[17,[]],[18,[]],[38,[]],[39,[]],[40,[]],[14,[]],[13,[]],[15,[]],[28,[]],[43,[]],[42,[]],[44,[]],[46,[]],[47,[]],[45,[]],[29,[]],[27,[]],[26,[]],[48,[48]]],[[0,[7,19,20,21,22,8,9,10,11,12,23,24,25,1,2,35,34,33,32,31,30]],[7,[]],[19,[]],[20,[]],[21,[]],[22,[]],[8,[]],[9,[]],[10,[]],[11,[]],[12,[37,41]],[23,[]],[24,[]],[25,[]],[37,[]],[1,[]],[2,[]],[41,[]],[49,[36,49,50]],[50,[]],[36,[]],[35,[]],[34,[]],[33,[]],[32,[]],[31,[]],[30,[]]]],[[[6,[46,47,45]]],[[12,[37,41]]],[[49,[36,49,50]],[48,[48]]]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</si>
  <si>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</si>
  <si>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[[[[0,[1,6,4,37,5,3,16,17,18,39,41,15,14,13,26,27,29,47,46,43,42,44,28]],[1,[45]],[6,[]],[4,[]],[37,[]],[5,[]],[3,[38,40]],[16,[]],[17,[]],[38,[]],[18,[]],[40,[]],[39,[]],[41,[]],[15,[]],[14,[]],[13,[]],[26,[]],[27,[]],[29,[]],[45,[]],[47,[]],[46,[]],[43,[]],[42,[]],[44,[]],[28,[]]],[[0,[7,8,9,10,11,12,22,21,19,20,23,24,25,2,36,35,34,33,32,31,30]],[7,[]],[8,[]],[9,[]],[10,[]],[11,[]],[12,[]],[22,[]],[21,[]],[19,[]],[20,[]],[23,[]],[24,[]],[25,[]],[2,[48,49,50]],[48,[]],[49,[]],[50,[]],[36,[]],[35,[]],[34,[]],[33,[]],[32,[]],[31,[]],[30,[]]]],[[[1,[45]]],[[3,[38,40]],[2,[48,49,50]]]]]</t>
  </si>
  <si>
    <t>[[[[0,[1,4,5,6,3,16,17,18,14,13,15,28,29,27,26,33]],[1,[]],[4,[]],[5,[38,39,40,43,42,44]],[6,[46,47,45,48,49,50]],[3,[]],[16,[]],[17,[]],[18,[]],[38,[]],[39,[]],[40,[]],[14,[]],[13,[]],[15,[]],[28,[]],[43,[]],[42,[]],[44,[]],[46,[]],[47,[]],[45,[]],[29,[]],[27,[]],[26,[]],[48,[]],[49,[]],[50,[]],[33,[]]],[[0,[10,9,8,7,11,22,12,20,21,23,24,25,2]],[10,[]],[9,[]],[8,[]],[7,[]],[11,[]],[22,[]],[12,[]],[20,[]],[19,[19]],[21,[37,41]],[23,[34,31,30,35,36,32]],[24,[]],[25,[]],[37,[]],[2,[]],[41,[]],[34,[]],[35,[]],[36,[]],[32,[]],[31,[]],[30,[]]]],[[[5,[38,39,40,43,42,44]],[19,[19]]],[[6,[46,47,45,48,49,50]],[21,[37,41]]],[[23,[34,31,30,35,36,32]]]]]</t>
  </si>
  <si>
    <t>test_data/data_demand_random_50_batch_all1_equal_cluster/RC101_2.5.dat</t>
  </si>
  <si>
    <t>[[[[0,[5,6,8,36,37,16,15,14,34,35,33,31,30,1,2,32,4,3,12,26,27,28,39,29,38,10,9,11,40,41,21,20,18,17,19]],[5,[]],[6,[]],[8,[]],[36,[]],[37,[]],[16,[]],[15,[]],[14,[]],[34,[]],[35,[]],[33,[]],[31,[]],[30,[]],[1,[]],[2,[]],[32,[]],[4,[]],[3,[]],[12,[]],[26,[]],[27,[]],[28,[]],[39,[]],[29,[]],[38,[]],[10,[]],[9,[]],[11,[]],[40,[]],[41,[]],[21,[]],[20,[]],[18,[]],[17,[]],[19,[]]],[[0,[13,7,22,23,24,25,50,49,48,47,46,45,44,43,42]],[13,[]],[7,[]],[22,[]],[23,[]],[24,[]],[25,[]],[50,[]],[49,[]],[48,[]],[47,[]],[46,[]],[45,[]],[44,[]],[43,[]],[42,[]]]],[]]</t>
  </si>
  <si>
    <t>[[[[0,[7,6,16,8,15,14,13,5,2,12,3,4,1,9,10,11,19,21,20,18,17]],[7,[]],[6,[]],[16,[]],[8,[]],[15,[]],[14,[]],[13,[]],[5,[28,27,26,29]],[2,[32,33,31,30]],[26,[]],[28,[34,35,36,37]],[27,[]],[12,[]],[3,[]],[4,[]],[32,[]],[30,[]],[31,[]],[33,[]],[36,[]],[37,[]],[34,[]],[35,[]],[1,[]],[9,[]],[10,[]],[29,[39,38,42]],[39,[]],[38,[]],[11,[]],[19,[]],[42,[]],[21,[]],[20,[]],[18,[]],[17,[]]],[[0,[22,23,24,25,50,49,48,47,46,45,44,43,41,40]],[22,[]],[23,[]],[24,[]],[25,[]],[50,[]],[49,[]],[48,[]],[47,[]],[46,[]],[45,[]],[44,[]],[43,[]],[41,[]],[40,[]]]],[[[5,[28,27,26,29]]],[[2,[32,33,31,30]]],[[28,[34,35,36,37]]],[[29,[39,38,42]]]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</si>
  <si>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</si>
  <si>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[5,16,15,14,18,19,12,11]],[1,[1]],[5,[]],[16,[]],[15,[]],[14,[26,27,28,29]],[18,[]],[19,[39,38,30,32]],[30,[]],[32,[50,49,48,47]],[12,[]],[26,[]],[27,[]],[28,[]],[39,[]],[29,[]],[38,[]],[11,[]],[50,[]],[49,[]],[48,[]],[47,[]]],[[0,[17,4,3,2,13,6,7,8,21,20]],[9,[9,10]],[10,[]],[17,[]],[4,[31,33]],[31,[]],[3,[]],[33,[]],[2,[35,34,36,37]],[35,[]],[34,[]],[13,[46,45,44,43]],[6,[]],[7,[]],[8,[]],[36,[]],[37,[]],[22,[22,23,25,24]],[23,[40,41,42]],[25,[]],[24,[]],[46,[]],[45,[]],[44,[]],[40,[]],[41,[]],[42,[]],[43,[]],[21,[]],[20,[]]]],[[[9,[9,10]],[1,[1]]],[[14,[26,27,28,29]]],[[19,[39,38,30,32]]],[[4,[31,33]]],[[2,[35,34,36,37]]],[[32,[50,49,48,47]]],[[13,[46,45,44,43]]],[[22,[22,23,25,24]]],[[23,[40,41,42]]]]]</t>
  </si>
  <si>
    <t>test_data/data_demand_random_50_batch_all1_equal_cluster/RC101_2.dat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</si>
  <si>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</si>
  <si>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</si>
  <si>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[16,17,18,19,44,43,20,15,13,14,3,1,2,4,5,6,40,41,42,25,21,22,23,24,12,11,10,9,8,7]],[16,[]],[17,[]],[18,[]],[19,[]],[44,[]],[43,[]],[20,[]],[15,[]],[13,[]],[14,[]],[3,[]],[1,[]],[2,[]],[4,[]],[5,[]],[6,[]],[40,[]],[41,[]],[42,[]],[25,[]],[21,[]],[22,[]],[23,[]],[24,[]],[12,[]],[11,[]],[10,[]],[9,[]],[8,[]],[7,[]]]],[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</si>
  <si>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</si>
  <si>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</si>
  <si>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[19,21,44,43,42,41,40,39,22,20,45,46,47,48,49,50,26,25,24,23]],[19,[]],[21,[]],[44,[]],[43,[]],[42,[]],[41,[]],[40,[]],[39,[]],[22,[]],[20,[]],[45,[]],[46,[]],[47,[]],[48,[]],[49,[]],[50,[]],[26,[]],[25,[]],[24,[]],[23,[]]],[[0,[27,28,29,37,30,38,13,11,12,14,3,4,5,2,1,31,32,33,34,35,17,16,15,8,9,36,10,18,7,6]],[27,[]],[28,[]],[29,[]],[37,[]],[30,[]],[38,[]],[13,[]],[11,[]],[12,[]],[14,[]],[3,[]],[4,[]],[5,[]],[2,[]],[1,[]],[31,[]],[32,[]],[33,[]],[34,[]],[35,[]],[17,[]],[16,[]],[15,[]],[8,[]],[9,[]],[36,[]],[10,[]],[18,[]],[7,[]],[6,[]]]],[]]</t>
  </si>
  <si>
    <t>[[[[0,[14,2,3,4,6,17,16,7,15,8,9,10,18,5,1,12,11,13,22,20,21,19]],[14,[]],[2,[]],[3,[]],[4,[]],[6,[]],[17,[]],[16,[]],[7,[33,34,32,31]],[15,[]],[8,[27,29,28,30]],[9,[]],[36,[36,35]],[10,[]],[18,[]],[35,[]],[34,[]],[33,[]],[31,[]],[32,[]],[5,[]],[1,[]],[27,[37,38,42,39]],[28,[]],[29,[]],[37,[]],[30,[]],[12,[]],[11,[]],[13,[]],[38,[44,43,40,41]],[44,[]],[43,[]],[42,[]],[40,[]],[41,[]],[39,[]],[22,[]],[20,[]],[21,[]],[19,[]]],[[0,[23,24,25,26,50,49,48,47,46,45]],[23,[]],[24,[]],[25,[]],[26,[]],[50,[]],[49,[]],[48,[]],[47,[]],[46,[]],[45,[]]]],[[[7,[33,34,32,31]]],[[8,[27,29,28,30]]],[[36,[36,35]]],[[27,[37,38,42,39]]],[[38,[44,43,40,41]]]]]</t>
  </si>
  <si>
    <t>[[[[0,[23,24,25,26,50,49,48,47,46,45,20,22,39,41,40,42,44,43,21,19]],[23,[]],[24,[]],[25,[]],[26,[]],[50,[]],[49,[]],[48,[]],[47,[]],[46,[]],[45,[]],[20,[]],[22,[]],[39,[]],[41,[]],[40,[]],[42,[]],[44,[]],[43,[]],[21,[]],[19,[]]],[[0,[14,27,28,29,37,30,38,13,12,11,3,4,5,2,1,31,32,33,34,35,17,16,15,7,18,36,10,9,8,6]],[14,[]],[27,[]],[28,[]],[29,[]],[37,[]],[30,[]],[38,[]],[13,[]],[12,[]],[11,[]],[3,[]],[4,[]],[5,[]],[2,[]],[1,[]],[31,[]],[32,[]],[33,[]],[34,[]],[35,[]],[17,[]],[16,[]],[15,[]],[7,[]],[18,[]],[36,[]],[10,[]],[9,[]],[8,[]],[6,[]]]],[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</si>
  <si>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</si>
  <si>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test_data/data_demand_random_50_batch_all1_equal_random/C101_0.5.dat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</si>
  <si>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[7,[]],[49,[]],[44,[]],[9,[]],[42,[]],[18,[]],[40,[]],[1,[]],[2,[]],[37,[]],[12,[]]]],[[[5,[46,47,41]]],[[14,[48,50,49]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</si>
  <si>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</si>
  <si>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</si>
  <si>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</si>
  <si>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</si>
  <si>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</si>
  <si>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</si>
  <si>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[23,28,25,5,29,15,27,17,20,6,30,19,16,4,31,13,32,33]],[23,[]],[28,[]],[25,[]],[5,[]],[29,[]],[15,[46,47,41,39,36,37,38]],[46,[]],[36,[]],[39,[]],[27,[]],[17,[]],[20,[]],[6,[]],[30,[]],[19,[]],[16,[]],[4,[]],[41,[]],[31,[]],[13,[]],[32,[]],[37,[]],[33,[]],[47,[]],[38,[]]],[[0,[10,3,14,11,8,21,9,18,7,1,22,2,12]],[10,[34,35,24,26]],[35,[]],[24,[]],[3,[]],[14,[48,50,49,45,43,44,40,42]],[11,[]],[8,[]],[34,[]],[45,[]],[48,[]],[21,[]],[50,[]],[43,[]],[44,[]],[9,[]],[42,[]],[18,[]],[40,[]],[7,[]],[49,[]],[1,[]],[22,[]],[26,[26]],[2,[]],[12,[]]]],[[[15,[46,47,41,39,36,37,38]]],[[10,[34,35,24,26]]],[[14,[48,50,49,45,43,44,40,42]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</si>
  <si>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</si>
  <si>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</si>
  <si>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</si>
  <si>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test_data/data_demand_random_50_batch_all1_equal_random/C101_1.5.dat</t>
  </si>
  <si>
    <t>[[[[0,[11,40,43,45,1,27,35,24,9,13,3,26,42,49,28,10,48,44,6,34,17,37,4,39,46,33]],[11,[]],[40,[]],[43,[]],[45,[]],[1,[]],[27,[]],[35,[]],[24,[]],[9,[]],[13,[]],[3,[]],[26,[]],[42,[]],[49,[]],[28,[]],[10,[]],[48,[]],[44,[]],[6,[]],[34,[]],[17,[]],[37,[]],[4,[]],[39,[]],[46,[]],[33,[]]],[[0,[16,18,21,8,15,38,30,32,12,22,31,19,41,29,2,23,25,47,50,14,20,7,36,5]],[16,[]],[18,[]],[21,[]],[8,[]],[15,[]],[38,[]],[30,[]],[32,[]],[12,[]],[22,[]],[31,[]],[19,[]],[41,[]],[29,[]],[2,[]],[23,[]],[25,[]],[47,[]],[50,[]],[14,[]],[20,[]],[7,[]],[36,[]],[5,[]]]],[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</si>
  <si>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</si>
  <si>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</si>
  <si>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</si>
  <si>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</si>
  <si>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test_data/data_demand_random_50_batch_all1_equal_random/C101_1.dat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</si>
  <si>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</si>
  <si>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</si>
  <si>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[12,3,7,10,20,8,21,4,14,11,17]],[12,[]],[3,[]],[7,[34,29,31,33,39,41,32,38]],[32,[]],[10,[]],[41,[]],[20,[]],[8,[]],[39,[]],[40,[37,36,42,40,26]],[21,[]],[38,[]],[4,[50,45,46,49,47]],[14,[]],[11,[]],[50,[]],[36,[]],[45,[]],[29,[]],[26,[26]],[37,[]],[34,[]],[31,[]],[33,[]],[46,[]],[49,[]],[42,[]],[17,[]],[47,[]]],[[0,[6,25,16,27,23,2,5,22,18,24,13,15,9,1,19]],[6,[35,28,30]],[25,[]],[35,[35]],[16,[48,44,43]],[27,[]],[23,[]],[2,[]],[28,[28]],[5,[]],[22,[]],[18,[]],[48,[]],[24,[]],[13,[]],[15,[]],[9,[]],[44,[]],[1,[]],[30,[30]],[43,[]],[19,[]]]],[[[6,[35,28,30]]],[[16,[48,44,43]]],[[7,[34,29,31,33,39,41,32,38]]],[[40,[37,36,42,40,26]]],[[4,[50,45,46,49,47]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</si>
  <si>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</si>
  <si>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test_data/data_demand_random_50_batch_all1_equal_random/C101_2.5.dat</t>
  </si>
  <si>
    <t>[[[[0,[20,1,5,28,10,16,12,22,15,3,26,25,24,17,18,6,7,27]],[20,[]],[1,[]],[5,[]],[28,[]],[10,[]],[16,[]],[12,[]],[22,[]],[34,[34,29]],[29,[]],[15,[]],[38,[32,41,43,38]],[3,[]],[26,[]],[25,[]],[24,[]],[41,[]],[17,[]],[32,[45,44,46]],[18,[]],[6,[]],[43,[]],[39,[39,40]],[40,[]],[7,[]],[45,[]],[44,[]],[27,[]],[46,[]]],[[0,[21,11,13,8,23,14,2,9,4,30,31,19,33,35]],[21,[]],[11,[]],[13,[36,37,42]],[8,[]],[23,[]],[14,[]],[2,[]],[9,[]],[36,[36]],[4,[]],[37,[50,47,49,48]],[48,[]],[50,[]],[30,[]],[31,[]],[42,[42]],[19,[]],[33,[]],[35,[]],[47,[]],[49,[]]]],[[[34,[34,29]]],[[38,[32,41,43,38]]],[[13,[36,37,42]]],[[37,[50,47,49,48]]],[[32,[45,44,46]]],[[39,[39,40]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</si>
  <si>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</si>
  <si>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[14,2,17,3,7,12,16,10,18,15]],[14,[]],[2,[]],[17,[22,28,27,25,24,26]],[3,[32,34,29]],[29,[]],[34,[]],[22,[]],[7,[]],[12,[]],[16,[]],[10,[]],[32,[45,44,46,40,41,38]],[18,[]],[40,[]],[28,[]],[45,[]],[44,[]],[27,[]],[41,[]],[25,[]],[24,[]],[15,[]],[38,[]],[26,[]],[46,[]]],[[0,[6,1,20,5,19,11,21,13,9,8,4]],[6,[]],[1,[]],[20,[]],[5,[]],[19,[]],[11,[]],[21,[33,35,31,30,23]],[35,[]],[33,[]],[13,[]],[9,[42,39,43,36,37]],[37,[]],[8,[]],[4,[]],[36,[]],[23,[47,49,50,48]],[48,[]],[50,[]],[30,[]],[31,[]],[42,[]],[39,[]],[47,[]],[43,[]],[49,[]]]],[[[17,[22,28,27,25,24,26]]],[[3,[32,34,29]]],[[21,[33,35,31,30,23]]],[[32,[45,44,46,40,41,38]]],[[9,[42,39,43,36,37]]],[[23,[47,49,50,48]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</si>
  <si>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</si>
  <si>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</si>
  <si>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test_data/data_demand_random_50_batch_all1_equal_random/C101_2.dat</t>
  </si>
  <si>
    <t>[[[[0,[23,45,11,50,43,31,16,6,35,26,12,10,38,42,34,47,49,37,17,22,19,29,44,1,25,48]],[23,[]],[45,[]],[11,[]],[50,[]],[43,[]],[31,[]],[16,[]],[6,[]],[35,[]],[26,[]],[12,[]],[10,[]],[38,[]],[42,[]],[34,[]],[47,[]],[49,[]],[37,[]],[17,[]],[22,[]],[19,[]],[29,[]],[44,[]],[1,[]],[25,[]],[48,[]]],[[0,[4,39,33,28,5,3,21,9,2,41,13,8,24,20,27,15,18,40,36,14,7,30,32]],[4,[]],[39,[]],[33,[]],[28,[]],[5,[]],[3,[]],[21,[]],[9,[]],[2,[]],[41,[]],[13,[]],[8,[]],[24,[]],[20,[]],[27,[]],[15,[]],[18,[]],[40,[]],[36,[]],[46,[46]],[14,[]],[7,[]],[30,[]],[32,[]]]],[[[46,[46]]]]]</t>
  </si>
  <si>
    <t>[[[[0,[6,35,26,25,1,7,14,18,15,27,20,24,8,13,2,30,21,9,3,5,28,33,39,4,32]],[6,[]],[35,[]],[26,[]],[25,[]],[1,[]],[7,[]],[14,[]],[18,[]],[15,[]],[27,[]],[20,[]],[24,[]],[8,[]],[13,[41]],[41,[]],[2,[]],[30,[]],[21,[]],[9,[]],[3,[]],[5,[]],[28,[]],[33,[]],[39,[]],[4,[]],[32,[]]],[[0,[48,29,44,36,46,40,19,34,42,22,17,37,49,47,38,10,12,31,16,43,50,11,45,23]],[48,[]],[29,[]],[44,[]],[36,[]],[46,[]],[40,[]],[19,[]],[34,[]],[42,[]],[22,[]],[17,[]],[37,[]],[49,[]],[47,[]],[38,[]],[10,[]],[12,[]],[31,[]],[16,[]],[43,[]],[50,[]],[11,[]],[45,[]],[23,[]]]],[[[13,[41]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</si>
  <si>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</si>
  <si>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</si>
  <si>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[32,4,39,33,28,5,3,9,21,30,2,13,8,24,20,27,15,18,40,14,7,1,25,26,35,23]],[32,[]],[4,[]],[39,[]],[33,[]],[28,[]],[5,[]],[3,[]],[9,[]],[21,[]],[30,[]],[2,[41]],[41,[]],[13,[]],[8,[]],[24,[]],[20,[]],[27,[]],[15,[]],[18,[]],[40,[46]],[46,[]],[14,[]],[7,[]],[1,[]],[25,[]],[26,[]],[35,[]],[23,[]]],[[0,[11,50,43,45,6,16,31,12,10,38,47,49,37,17,22,42,34,19,36,44,29,48]],[11,[]],[50,[]],[43,[]],[45,[]],[6,[]],[16,[]],[31,[]],[12,[]],[10,[]],[38,[]],[47,[]],[49,[]],[37,[]],[17,[]],[22,[]],[42,[]],[34,[]],[19,[]],[36,[]],[44,[]],[29,[]],[48,[]]]],[[[2,[41]]],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</si>
  <si>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</si>
  <si>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test_data/data_demand_random_50_batch_all1_equal_random/C101_3.dat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</si>
  <si>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</si>
  <si>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</si>
  <si>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</si>
  <si>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[29,5,16,46,18,9,33,37,27,41,10,35,14,32,4,1]],[29,[]],[5,[]],[16,[]],[46,[]],[18,[]],[9,[50,20,48,26,47]],[33,[]],[50,[]],[37,[]],[27,[]],[41,[]],[10,[]],[35,[]],[14,[]],[20,[]],[32,[]],[4,[]],[48,[]],[1,[]],[26,[]],[47,[]]],[[0,[19,11,8,7,13,43,42,15,23,39,21,6,31,22,25,45,36,24,30,2,3,17,44,28,34,12,38,40]],[19,[]],[11,[]],[8,[]],[7,[]],[13,[]],[43,[]],[42,[]],[15,[]],[23,[]],[39,[]],[21,[]],[6,[]],[31,[]],[22,[]],[25,[]],[45,[]],[36,[]],[24,[]],[30,[]],[2,[]],[3,[]],[17,[]],[44,[49]],[49,[]],[28,[]],[34,[]],[12,[]],[38,[]],[40,[]]]],[[[9,[50,20,48,26,47]]],[[44,[49]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</si>
  <si>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</si>
  <si>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[29,28,24,3,9,21,23,31,20,16,5,4,1,26]],[29,[]],[28,[]],[24,[]],[3,[45,44,46]],[9,[]],[21,[]],[43,[43,36,34,38]],[23,[49,48,32]],[31,[]],[45,[]],[36,[]],[44,[]],[49,[]],[34,[]],[38,[]],[46,[]],[20,[]],[16,[]],[32,[]],[5,[]],[4,[]],[48,[]],[1,[]],[26,[]]],[[0,[13,11,8,7,19,15,6,2,25,22,12,18,17,27,10,14,33]],[13,[]],[11,[]],[8,[]],[7,[]],[19,[]],[15,[]],[6,[]],[2,[]],[25,[]],[22,[]],[30,[30,40]],[42,[42,39]],[39,[]],[40,[]],[12,[]],[18,[]],[17,[]],[50,[50,41,47]],[37,[37,35]],[27,[]],[41,[]],[10,[]],[14,[]],[35,[]],[33,[]],[47,[]]]],[[[3,[45,44,46]],[30,[30,40]]],[[43,[43,36,34,38]],[42,[42,39]]],[[23,[49,48,32]]],[[50,[50,41,47]]],[[37,[37,35]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</si>
  <si>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</si>
  <si>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test_data/data_demand_random_50_batch_all1_equal_random/C201_0.5.dat</t>
  </si>
  <si>
    <t>[[[[0,[31,11,29,18,9,32,22,42,1,36,41,12,10,17,34,35,2,8,16,28,5,30]],[31,[]],[11,[45]],[29,[]],[45,[]],[18,[]],[9,[]],[32,[]],[22,[49]],[42,[]],[1,[]],[36,[]],[49,[]],[41,[]],[12,[]],[10,[]],[17,[]],[34,[]],[35,[]],[2,[]],[8,[]],[16,[]],[28,[]],[5,[]],[30,[]]],[[0,[46,39,27,15,7,13,19,6,25,47,3,48,23,40,50,33,4,44,21,37,24,26,43,20,38,14]],[46,[]],[39,[]],[27,[]],[15,[]],[7,[]],[13,[]],[19,[]],[6,[]],[25,[]],[47,[]],[3,[]],[48,[]],[23,[]],[40,[]],[50,[]],[33,[]],[4,[]],[44,[]],[21,[]],[37,[]],[24,[]],[26,[]],[43,[]],[20,[]],[38,[]],[14,[]]]],[[[11,[45]]],[[22,[49]]]]]</t>
  </si>
  <si>
    <t>[[[[0,[1]],[11,[11,9,2,8]],[29,[29,18,16,14]],[18,[]],[9,[]],[45,[45,32,35,28]],[31,[31,42,34,36]],[32,[]],[22,[22,17,12,10]],[42,[]],[35,[]],[17,[]],[34,[]],[1,[]],[36,[]],[49,[49,41,38]],[41,[]],[12,[]],[10,[]],[2,[]],[8,[]],[16,[]],[28,[]],[38,[]],[14,[]]],[[0,[3,4]],[15,[15,6,13,7]],[6,[]],[13,[]],[19,[19,24,26]],[7,[]],[3,[]],[48,[48,23,40,33]],[23,[]],[40,[]],[50,[50,44,21,37]],[33,[]],[4,[]],[44,[]],[21,[]],[37,[]],[24,[]],[26,[]],[43,[43,5,20,30]],[5,[27,25]],[20,[]],[30,[]],[27,[]],[39,[39,47,46]],[47,[]],[25,[]],[46,[]]]],[[[11,[11,8,2,9]]],[[15,[15,7,6,13]]],[[29,[29,18,16,14]]],[[45,[45,35,32,28]]],[[19,[19,24,26]]],[[31,[31,42,36,34]]],[[22,[22,17,12,10]]],[[48,[48,40,23,33]]],[[50,[50,44,37,21]]],[[49,[49,41,38]]],[[43,[43,20,30,5]]],[[5,[25,27]]],[[39,[39,47,46]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</si>
  <si>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</si>
  <si>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</si>
  <si>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</si>
  <si>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[1]],[9,[9,18,11,22,12,17,8,16]],[18,[]],[29,[29]],[45,[45,31,32,42,36,10,34,2]],[11,[]],[31,[]],[32,[]],[22,[]],[42,[49,41,35,28,30]],[1,[]],[36,[]],[49,[]],[41,[]],[12,[]],[10,[]],[17,[]],[34,[]],[35,[]],[2,[]],[8,[]],[16,[]],[28,[]],[30,[]]],[[0,[3,4]],[5,[5,7,6]],[3,[]],[15,[15,19,13,20,14]],[7,[]],[19,[]],[13,[]],[6,[]],[47,[47,46,39,27,23,40,50,26]],[25,[25,48,33,44,21,37,24]],[46,[]],[39,[]],[27,[]],[48,[]],[23,[]],[40,[]],[50,[]],[33,[]],[4,[]],[44,[]],[21,[]],[37,[]],[24,[]],[26,[]],[43,[43,38]],[20,[]],[38,[]],[14,[]]]],[[[5,[5,7,6]]],[[9,[9,18,22,12,17,8,16,11]]],[[15,[15,19,13,14,20]]],[[29,[29]]],[[45,[45,31,32,2,36,10,34,42]]],[[47,[47,46,39,27,40,50,23,26]]],[[25,[25,21,24,44,48,37,33]]],[[42,[49,41,35,28,30]]],[[43,[43,38]]]]]</t>
  </si>
  <si>
    <t>[[[[0,[1]],[13,[13,7,6,15,10,12,14]],[19,[19,25,24,26]],[7,[]],[6,[]],[15,[]],[39,[39,47,43,34,41,36,42,38]],[25,[]],[47,[]],[46,[46,49,28,17,20,30]],[24,[]],[26,[]],[43,[]],[28,[]],[17,[]],[34,[]],[10,[]],[12,[]],[41,[]],[49,[]],[36,[]],[1,[]],[42,[]],[14,[]],[38,[]],[20,[]],[30,[]]],[[0,[3,4,2]],[5,[5,16,8,11,9]],[3,[]],[27,[27,23,21,22,29,18]],[23,[]],[48,[48,40,50,33,37,35,32,31]],[37,[]],[21,[]],[40,[]],[50,[]],[33,[]],[4,[]],[44,[44,45]],[16,[]],[8,[]],[2,[]],[35,[]],[32,[]],[22,[]],[11,[]],[29,[]],[45,[]],[18,[]],[9,[]],[31,[]]]],[[[13,[13,7,6,15,10,12,14]]],[[5,[5,16,8,11,9]]],[[19,[19,25,24,26]]],[[27,[27,23,21,22,29,18]]],[[39,[39,47,43,34,41,36,42,38]]],[[48,[48,40,50,33,37,35,32,31]]],[[44,[44,45]],[46,[46,49,28,17,20,30]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</si>
  <si>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</si>
  <si>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</si>
  <si>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</si>
  <si>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</si>
  <si>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[4,3]],[9,[9]],[13,[13,8,10]],[8,[]],[10,[2]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[10,[2]],[15,[15,6]]],[[19,[19,16,12,21]]],[[25,[25,27,14,28]]],[[31,[31,32,22,24]]],[[34,[34,41,42,39]]],[[38,[38,26,37]]],[[36,[36,20,33]]],[[45,[45,35,44,43]]],[[50,[50,46,48]]],[[47,[47,49,40,23]]],[[21,[30,29]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</si>
  <si>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</si>
  <si>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[11]],[15,[15,18,17,7,9,12,16]],[18,[]],[17,[]],[7,[]],[9,[]],[33,[33,29,35,37]],[29,[]],[35,[41,14,27,25,8]],[12,[]],[16,[]],[41,[]],[14,[]],[27,[]],[3,[]],[25,[]],[50,[50,43,48,24,46,44]],[43,[]],[8,[]],[48,[]],[24,[]],[46,[]],[37,[]],[44,[]]]],[[[11,[11]],[13,[13,6]]],[[15,[15,18,17,7,9,12,16]]],[[19,[19,10,20,21,23,22]]],[[33,[33,29,35,37]]],[[38,[38,32,31,26,36,30,28,34]]],[[35,[41,14,27,25,8]]],[[50,[50,43,48,24,46,44]]],[[30,[40,39,49,47,42,45]]]]]</t>
  </si>
  <si>
    <t>[[[[0,[5,1]],[5,[]],[1,[]],[17,[17,7,18,15,6,9]],[7,[]],[18,[]],[15,[]],[26,[26,30,31,32,23,33,20]],[31,[]],[32,[]],[38,[38,36,42,21,28]],[36,[]],[6,[]],[30,[]],[42,[]],[47,[47,49,39,40,35,45]],[21,[]],[49,[]],[39,[]],[40,[]],[28,[]],[23,[]],[35,[]],[33,[]],[9,[]],[45,[]],[20,[]]],[[0,[2,3,4]],[2,[]],[3,[]],[4,[]],[10,[10,8,13,11,14,12,16]],[8,[]],[13,[]],[11,[]],[29,[29,27,19,22,24,34,25]],[34,[]],[16,[]],[27,[]],[14,[]],[41,[41,37]],[25,[]],[12,[]],[50,[50,43,44,46,48]],[19,[]],[43,[]],[22,[]],[44,[]],[37,[]],[46,[]],[24,[]],[48,[]]]],[[[10,[10,8,13,11,14,12,16]]],[[17,[17,7,18,15,6,9]]],[[29,[29,27,19,22,24,34,25]]],[[26,[26,30,31,32,23,33,20]]],[[38,[38,36,42,21,28]]],[[41,[41,37]]],[[50,[50,43,44,46,48]]],[[47,[47,49,39,40,35,45]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</si>
  <si>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</si>
  <si>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[4,2,3]],[4,[]],[3,[]],[12,[12,13,10,9]],[2,[]],[22,[22,8]],[13,[]],[10,[24,19,27,14,16,25,21]],[24,[]],[8,[]],[19,[30,28,20]],[25,[]],[27,[]],[14,[]],[41,[41,42,34,36,39,40]],[16,[]],[34,[]],[42,[]],[47,[47,45,49]],[21,[]],[49,[]],[39,[]],[40,[]],[28,[]],[30,[]],[36,[]],[20,[]],[45,[]],[9,[]]],[[0,[1,5]],[6,[6]],[7,[7,18,17,15]],[18,[]],[17,[]],[15,[]],[26,[26]],[5,[]],[1,[31,32,23,33,11]],[31,[]],[32,[]],[38,[38,37,35,29]],[48,[48,46,50,44,43]],[46,[]],[43,[]],[37,[]],[44,[]],[50,[]],[35,[]],[23,[]],[29,[]],[33,[]],[11,[]]]],[[[6,[6]]],[[12,[12,13,10,9]]],[[7,[7,18,17,15]]],[[22,[22,8]]],[[26,[26]]],[[10,[24,19,27,14,16,25,21]]],[[19,[30,28,20]]],[[1,[31,32,23,33,11]]],[[38,[38,37,35,29]]],[[41,[41,42,34,36,39,40]]],[[47,[47,45,49]]],[[48,[48,46,50,44,43]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</si>
  <si>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</si>
  <si>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</si>
  <si>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[1,2,3,4]],[1,[]],[2,[6,5]],[3,[]],[6,[]],[5,[]],[18,[18,20,14]],[20,[38,32,13,16]],[36,[36,41,7,17]],[41,[43,35,24,46]],[38,[]],[32,[47,39,49,27]],[14,[]],[47,[]],[39,[]],[13,[]],[16,[]],[7,[]],[49,[]],[27,[]],[43,[]],[17,[]],[35,[]],[4,[]],[24,[]],[46,[]]],[[0,[11,10,12,8,9]],[11,[]],[29,[29,25,31,22]],[10,[26,23,19,15]],[12,[]],[25,[]],[31,[]],[22,[]],[45,[45,48,40,28]],[48,[]],[40,[]],[28,[33,50,44,21]],[33,[]],[26,[]],[23,[]],[8,[]],[19,[]],[50,[]],[44,[]],[9,[]],[21,[]],[15,[]],[37,[37,42,34,30]],[42,[]],[34,[]],[30,[]]]],[[[2,[6,5]]],[[29,[29,25,31,22]]],[[18,[18,20,14]]],[[10,[26,23,19,15]]],[[20,[38,32,13,16]]],[[36,[36,41,7,17]]],[[41,[43,35,46,24]]],[[45,[45,48,40,28]]],[[32,[47,39,49,27]]],[[28,[50,44,21,33]]],[[37,[37,30,42,34]]]]]</t>
  </si>
  <si>
    <t>[[[[0,[1]],[1,[4]],[12,[12,11,10,18]],[11,[]],[10,[]],[31,[31,25,22,29]],[25,[]],[40,[40,17,20,24]],[18,[]],[29,[]],[48,[48,45,35,38]],[22,[]],[45,[]],[20,[]],[24,[]],[4,[]],[35,[]],[17,[]],[43,[43,37,41,36]],[37,[]],[38,[]],[41,[]],[36,[]]],[[0,[2,3]],[2,[]],[3,[]],[6,[6,5,9,7]],[5,[]],[9,[]],[7,[15,13,16,14]],[16,[]],[13,[]],[32,[32,27,23,26]],[15,[]],[27,[]],[14,[]],[47,[47,39,49,44]],[39,[]],[49,[]],[21,[21,28,19,8]],[44,[]],[50,[50,33,42,34]],[19,[]],[8,[]],[23,[]],[26,[]],[33,[]],[28,[]],[42,[]],[34,[]],[46,[46,30]],[30,[]]]],[[[1,[4]]],[[6,[6,5,9,7]]],[[12,[12,11,10,18]]],[[7,[15,13,16,14]]],[[31,[31,25,22,29]]],[[32,[32,27,23,26]]],[[40,[40,17,20,24]]],[[48,[48,45,35,38]]],[[47,[47,39,49,44]]],[[21,[21,28,19,8]]],[[50,[50,33,42,34]]],[[43,[43,37,41,36]]],[[46,[46,30]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</si>
  <si>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</si>
  <si>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[2,3]],[2,[5,8,13,6]],[6,[]],[23,[23,9,7,16]],[5,[]],[8,[]],[3,[]],[9,[]],[21,[21,27,19,31]],[7,[]],[16,[]],[13,[]],[27,[]],[32,[32,38,40,30]],[38,[]],[48,[48,33,45,18]],[18,[]],[22,[22,28,26]],[45,[]],[31,[]],[40,[]],[28,[]],[33,[]],[26,[]],[50,[50,44,42]],[19,[]],[44,[]],[42,[]],[30,[]]],[[0,[4]],[4,[]],[11,[11,10,12,17]],[10,[15,25,14]],[25,[]],[12,[]],[29,[29,24,34]],[24,[]],[37,[37,35,43,39]],[35,[]],[17,[]],[43,[]],[14,[]],[47,[47,41,36,46]],[39,[]],[49,[49]],[15,[20,1]],[41,[]],[36,[]],[20,[]],[46,[]],[34,[]],[1,[]]]],[[[2,[5,8,13,6]]],[[11,[11,10,12,17]]],[[23,[23,9,7,16]]],[[10,[15,25,14]]],[[29,[29,24,34]]],[[21,[21,27,19,31]]],[[37,[37,35,43,39]]],[[32,[32,38,40,30]]],[[48,[48,33,45,18]]],[[22,[22,28,26]]],[[47,[47,41,36,46]]],[[49,[49]],[50,[50,44,42]]],[[15,[20,1]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</si>
  <si>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</si>
  <si>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]],[11,[11,12,10,6,5,8]],[12,[]],[10,[]],[25,[25,22,26,23,19,20,18]],[22,[]],[28,[28,33,34,30,29]],[26,[]],[33,[]],[6,[]],[5,[]],[23,[]],[8,[]],[19,[]],[50,[50,44,42,46,45,31,40,48]],[44,[]],[42,[]],[34,[]],[46,[]],[20,[]],[30,[]],[45,[]],[31,[]],[40,[]],[48,[]],[18,[]],[29,[]]],[[0,[3]],[1,[1,2,9,4,7]],[2,[]],[3,[]],[9,[]],[21,[21,15,17]],[15,[]],[4,[]],[35,[35,24,14,13,16,27]],[17,[]],[43,[43,37,41,38,32,39,36]],[37,[]],[24,[]],[41,[]],[38,[]],[32,[]],[14,[]],[47,[47,49]],[39,[]],[13,[]],[16,[]],[7,[]],[49,[]],[27,[]],[36,[]]]],[[[11,[11,12,6,5,8,10]]],[[1,[1,2,9,4,7]]],[[21,[21,15,17]]],[[25,[25,26,23,19,20,22,18]]],[[35,[35,24,14,13,16,27]]],[[28,[28,33,34,30,29]]],[[43,[43,37,41,38,32,39,36]]],[[50,[50,44,42,46,45,48,40,31]]],[[47,[47,49]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</si>
  <si>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[3,2]],[2,[]],[3,[]],[5,[5,9,7,4]],[9,[16,14,21,15]],[21,[]],[41,[41,39,27,35,36,32,37,24]],[15,[]],[27,[]],[14,[]],[47,[47,13,49,17,43]],[39,[]],[13,[]],[16,[]],[7,[]],[49,[]],[32,[]],[37,[]],[4,[]],[35,[]],[17,[]],[43,[]],[24,[]],[36,[]]]],[[[6,[6]],[5,[5,9,7,4]]],[[22,[22,10,23,19,8,11,12,18]]],[[9,[16,14,21,15]]],[[25,[25,31,29,28,33,26,30,34]]],[[41,[41,39,27,35,36,32,37,24]]],[[48,[48,45,40,50,44,42,46,20]]],[[47,[47,13,49,17,43]]],[[38,[38]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</si>
  <si>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</si>
  <si>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]],[11,[11,12,10,18,6,5,8]],[12,[]],[10,[]],[18,[]],[31,[31,26,23,19,30,29,25,22]],[25,[]],[40,[40,28,33,34]],[28,[]],[26,[]],[33,[]],[6,[]],[5,[]],[23,[]],[8,[]],[19,[]],[50,[50,44,42,46,45,48]],[44,[]],[42,[]],[34,[]],[46,[]],[30,[]],[45,[]],[22,[]],[48,[]],[29,[]]],[[0,[]],[1,[1,9,2,3,4,7]],[2,[]],[3,[]],[9,[]],[21,[21,15,17,14,16,20]],[15,[]],[24,[24,37,35,36,32,27]],[37,[]],[4,[]],[35,[]],[17,[]],[43,[43,38,41,47,39,49]],[27,[]],[49,[]],[7,[]],[16,[]],[13,[13]],[39,[]],[47,[]],[14,[]],[32,[]],[38,[]],[41,[]],[36,[]],[20,[]]]],[[[1,[1,9,2,3,4,7]]],[[11,[11,12,10,18,6,5,8]]],[[21,[21,15,17,14,16,20]]],[[31,[31,26,23,19,30,29,25,22]]],[[24,[24,37,35,36,32,27]]],[[40,[40,28,33,34]]],[[43,[43,38,41,47,39,49]]],[[50,[50,44,42,46,45,48]]],[[13,[13]]]]]</t>
  </si>
  <si>
    <t>[[[[0,[3]],[3,[]],[8,[8,5,6,9,15,7,16,13]],[5,[]],[6,[]],[28,[28,26,23,19,21,27,14,20]],[40,[40]],[33,[33,44,39,32,30]],[26,[]],[23,[]],[19,[]],[50,[50,49,47]],[44,[]],[9,[]],[21,[]],[15,[]],[27,[]],[49,[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],[[50,[50,49,47]]]]]</t>
  </si>
  <si>
    <t>test_data/data_demand_random_50_batch_all1_equal_random/C201_2.5.dat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</si>
  <si>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</si>
  <si>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]],[7,[7]],[10,[10,6,12]],[6,[]],[3,[3]],[18,[18,15,13]],[25,[25,23]],[23,[]],[26,[26,17]],[29,[29]],[36,[36,32,31]],[31,[]],[32,[]],[12,[]],[42,[42,5,34,40]],[5,[]],[34,[]],[15,[]],[40,[]],[45,[45,41,33,22]],[41,[]],[17,[]],[13,[]],[33,[]],[49,[49,48,43,44]],[48,[]],[43,[]],[22,[]],[44,[]]],[[0,[1]],[1,[]],[2,[2]],[9,[9,4,8,11]],[19,[19,14]],[16,[16]],[28,[28,21,24]],[21,[]],[24,[20,27]],[8,[]],[14,[]],[4,[]],[30,[30,35]],[35,[]],[27,[]],[20,[]],[11,[]],[37,[37,46,38,39]],[46,[]],[38,[]],[39,[]],[50,[50,47]],[47,[]]]],[[[7,[7]],[2,[2]]],[[10,[10,6,12]]],[[9,[9,4,8,11]]],[[19,[19,14]],[3,[3]]],[[18,[18,15,13]]],[[16,[16]],[25,[25,23]]],[[28,[28,21,24]]],[[26,[26,17]]],[[24,[20,27]],[29,[29]]],[[36,[36,32,31]]],[[30,[30,35]]],[[42,[42,5,34,40]]],[[37,[37,46,38,39]]],[[45,[45,41,33,22]]],[[49,[49,48,43,44]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</si>
  <si>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</si>
  <si>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</si>
  <si>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[1]],[6,[6,7]],[7,[]],[2,[2]],[19,[19,16,13,10,12]],[16,[]],[13,[]],[10,[]],[1,[]],[12,[]],[33,[33,29,17,22]],[29,[]],[34,[34,36,31,32,26]],[36,[]],[31,[]],[32,[]],[44,[44,43]],[22,[]],[43,[]],[48,[48,49,41,45,40,42]],[49,[]],[26,[]],[17,[]],[41,[]],[45,[]],[40,[]],[42,[]]],[[0,[4]],[14,[14,5,15,11,9,8]],[4,[]],[3,[3]],[15,[]],[5,[]],[28,[28,21,27,20,18,23,24,25]],[21,[]],[24,[]],[25,[]],[30,[30,35,37]],[8,[]],[35,[]],[27,[]],[20,[]],[46,[46,38]],[11,[]],[9,[]],[37,[]],[18,[]],[38,[]],[23,[50,39,47]],[50,[]],[39,[]],[47,[]]]],[[[6,[6,7]]],[[2,[2]],[14,[14,5,15,11,9,8]]],[[19,[19,16,13,10,12]],[3,[3]]],[[33,[33,29,17,22]]],[[28,[28,21,27,20,18,23,24,25]]],[[34,[34,36,31,32,26]]],[[30,[30,35,37]]],[[44,[44,43]]],[[46,[46,38]]],[[48,[48,49,41,45,40,42]]],[[23,[50,39,47]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</si>
  <si>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</si>
  <si>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</si>
  <si>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</si>
  <si>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[2,6]],[2,[]],[9,[9]],[10,[10,8,12]],[8,[]],[12,[17,19,20,21]],[19,[]],[20,[]],[28,[28,29,23]],[21,[]],[29,[5]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[29,[5]],[30,[30,15]]],[[34,[34,36,32,31]]],[[42,[42,35,40,38]]],[[41,[41,25,37,13]]],[[50,[50,43,49,33]]],[[47,[47,46,48,45]]],[[39,[39,44]]]]]</t>
  </si>
  <si>
    <t>[[[[0,[1,6,7,5]],[1,[]],[13,[13]],[6,[]],[16,[16,12]],[7,[]],[5,[]],[14,[14,17,20,21]],[28,[28,29,19,25]],[21,[]],[17,[]],[36,[36,34,32,23]],[29,[]],[34,[]],[41,[41,37,43]],[20,[3]],[37,[]],[43,[]],[49,[49,50,33,22]],[19,[]],[12,[]],[25,[]],[50,[]],[32,[]],[33,[]],[3,[]],[23,[]],[22,[]]],[[0,[4,2]],[4,[]],[10,[10,8,9,11]],[8,[]],[9,[]],[2,[]],[11,[]],[26,[26,24,27,15]],[24,[]],[27,[]],[31,[31,30,35,18]],[30,[]],[15,[]],[42,[42,38]],[38,[]],[35,[]],[18,[]],[47,[47,40,45]],[40,[]],[46,[46,48,39,44]],[48,[]],[39,[]],[44,[]],[45,[]]]],[[[13,[13]]],[[10,[10,8,9,11]]],[[16,[16,12]]],[[14,[14,17,20,21]]],[[26,[26,24,27,15]]],[[28,[28,29,19,25]]],[[36,[36,34,32,23]]],[[31,[31,30,35,18]]],[[41,[41,37,43]]],[[42,[42,38]],[20,[3]]],[[47,[47,40,45]]],[[49,[49,50,33,22]]],[[46,[46,48,39,44]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</si>
  <si>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</si>
  <si>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</si>
  <si>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[6]],[6,[]],[13,[13]],[9,[9,15,12,17]],[15,[]],[24,[24,26,23,20,25,19,22]],[26,[]],[33,[33]],[23,[]],[41,[41,34,36,43,37,32]],[34,[]],[36,[]],[17,[]],[20,[]],[50,[50,49,45]],[25,[]],[12,[]],[19,[]],[49,[]],[43,[]],[37,[]],[32,[]],[22,[]],[45,[]]],[[0,[2,4,7,5,1]],[3,[3,10,11,8]],[2,[]],[10,[]],[4,[16,14,18]],[11,[]],[7,[]],[28,[28,29,21,27]],[16,[]],[14,[]],[5,[]],[29,[]],[21,[]],[1,[]],[30,[30,31,40,38,35,42,39]],[31,[]],[27,[]],[39,[]],[48,[48,46,44,47]],[8,[]],[46,[]],[44,[]],[40,[]],[38,[]],[35,[]],[18,[]],[47,[]],[42,[]]]],[[[3,[3,10,11,8]],[13,[13]]],[[9,[9,15,12,17]]],[[4,[16,14,18]]],[[28,[28,29,21,27]]],[[24,[24,26,23,20,25,19,22]]],[[33,[33]]],[[30,[30,31,40,38,35,42,39]]],[[41,[41,34,36,43,37,32]]],[[50,[50,49,45]]],[[48,[48,46,44,47]]]]]</t>
  </si>
  <si>
    <t>test_data/data_demand_random_50_batch_all1_equal_random/C201_3.dat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</si>
  <si>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</si>
  <si>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</si>
  <si>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[2,6,4]],[13,[13,14,8,7]],[14,[]],[8,[]],[2,[]],[6,[]],[7,[]],[4,[]],[24,[24,18,21]],[21,[]],[3,[3]],[18,[]],[28,[28,33,31,23]],[33,[]],[23,[]],[31,[]],[16,[16,26,27]],[26,[]],[38,[38,41,36]],[42,[42]],[41,[]],[43,[43,49,48,44]],[49,[]],[27,[]],[48,[]],[36,[]],[44,[]]],[[0,[1,12,19,15,17,5,10,9]],[1,[]],[12,[]],[19,[25,20]],[15,[]],[17,[]],[30,[30]],[25,[]],[5,[]],[11,[11]],[10,[]],[37,[37,34]],[9,[]],[22,[22,29,32]],[35,[35,39,40]],[34,[]],[29,[]],[46,[46,47,50,45]],[47,[]],[39,[]],[32,[]],[50,[]],[20,[]],[45,[]],[40,[]]]],[[[13,[13,14,8,7]]],[[24,[24,18,21]]],[[3,[3]],[19,[25,20]]],[[30,[30]]],[[28,[28,33,31,23]]],[[11,[11]],[16,[16,26,27]]],[[37,[37,34]]],[[22,[22,29,32]]],[[38,[38,41,36]]],[[35,[35,39,40]],[42,[42]]],[[46,[46,47,50,45]]],[[43,[43,49,48,44]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</si>
  <si>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</si>
  <si>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]],[14,[14,10,11,15,19,12,8,18]],[12,[]],[10,[]],[11,[]],[8,[]],[18,[]],[15,[]],[19,[]],[28,[28,33,17,23,25,22]],[33,[]],[17,[]],[23,[]],[25,[]],[35,[35,30,37,29,34,32]],[30,[]],[22,[]],[37,[]],[39,[39]],[29,[]],[46,[46,47,50,45,40]],[47,[]],[34,[]],[32,[]],[50,[]],[45,[]],[40,[]]],[[0,[6,1,4,5,3,2]],[5,[]],[9,[9,7,13]],[3,[]],[2,[]],[6,[]],[16,[16]],[13,[]],[26,[26,21,24,31,20,27]],[1,[]],[21,[]],[24,[]],[31,[]],[4,[]],[42,[42]],[38,[38,41,36]],[20,[]],[41,[]],[27,[]],[43,[43,49,48,44]],[49,[]],[48,[]],[36,[]],[7,[]],[44,[]]]],[[[14,[14,10,11,15,19,12,8,18]]],[[9,[9,7,13]]],[[16,[16]]],[[26,[26,21,24,31,20,27]]],[[28,[28,33,17,23,25,22]]],[[35,[35,30,37,29,34,32]]],[[42,[42]]],[[38,[38,41,36]]],[[39,[39]]],[[46,[46,47,50,45,40]]],[[43,[43,49,48,44]]]]]</t>
  </si>
  <si>
    <t>[[[[0,[1]],[17,[17,8,9,12,10,11,14,18]],[8,[]],[9,[]],[20,[20,25,26]],[12,[]],[10,[32,30,29,22,23]],[11,[]],[32,[]],[35,[35]],[14,[]],[18,[]],[38,[38]],[30,[39,34,37,42]],[25,[]],[26,[]],[1,[]],[39,[]],[29,[]],[46,[46,47,50,45]],[47,[]],[34,[]],[37,[]],[22,[]],[50,[]],[42,[]],[45,[]],[23,[]]],[[0,[3,5,6,4,2]],[3,[]],[5,[]],[19,[19,15,13,16,7]],[15,[]],[13,[]],[6,[]],[21,[21,33,24,31,27,28]],[33,[]],[4,[]],[36,[36,40,41]],[16,[]],[24,[]],[31,[]],[40,[]],[41,[]],[27,[]],[28,[]],[43,[43,49,48,44]],[49,[]],[48,[]],[7,[]],[2,[]],[44,[]]]],[[[17,[17,8,9,12,10,11,14,18]]],[[19,[19,15,13,16,7]]],[[21,[21,33,24,31,27,28]]],[[20,[20,25,26]]],[[10,[32,30,29,22,23]]],[[35,[35]]],[[38,[38]]],[[30,[39,34,37,42]],[36,[36,40,41]]],[[46,[46,47,50,45]]],[[43,[43,49,48,44]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</si>
  <si>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</si>
  <si>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test_data/data_demand_random_50_batch_all1_equal_random/R101_0.5.dat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</si>
  <si>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</si>
  <si>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</si>
  <si>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[14,11,18,10,13,3,6,20,15,1]],[14,[]],[11,[27,26,28,22]],[18,[35,30,36,37]],[10,[43,44,45,46]],[36,[]],[40,[47,38,39,40]],[26,[]],[43,[]],[13,[]],[27,[]],[3,[]],[35,[]],[38,[]],[22,[]],[6,[]],[47,[]],[39,[]],[30,[]],[45,[]],[20,[]],[28,[]],[44,[]],[15,[]],[1,[]],[46,[]],[37,[]]],[[0,[4,7,25,32,8,21,17,29,19,16,24,2,5,9,33,31,23,12]],[4,[]],[34,[42,41,34]],[7,[48,49,50]],[25,[]],[32,[]],[8,[]],[48,[]],[21,[]],[42,[42]],[49,[]],[17,[]],[29,[]],[19,[]],[16,[]],[24,[]],[2,[]],[41,[41]],[5,[]],[9,[]],[33,[]],[31,[]],[50,[]],[23,[]],[12,[]]]],[[[34,[42,41,34]]],[[11,[27,26,28,22]]],[[18,[35,30,36,37]]],[[10,[43,44,45,46]]],[[7,[48,49,50]]],[[40,[47,38,39,40]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</si>
  <si>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</si>
  <si>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[18,1,27,26,13,3,22,6,20,28,30,14,15]],[37,[37,34,35]],[34,[34]],[18,[]],[1,[47,43,44,45,46,40,38,39]],[27,[]],[40,[]],[26,[]],[43,[]],[13,[]],[3,[]],[35,[35]],[38,[]],[22,[]],[6,[]],[44,[]],[47,[]],[20,[]],[28,[]],[45,[]],[30,[]],[39,[]],[14,[]],[15,[]],[46,[]]],[[0,[4,7,8,2,5]],[12,[12,10,9,11]],[4,[]],[17,[21,24,23,17,19,16]],[29,[29,32,33,31,25,36]],[36,[]],[10,[48,49,50,42,41]],[7,[]],[25,[]],[32,[]],[8,[]],[48,[]],[42,[]],[49,[]],[21,[]],[2,[]],[24,[]],[41,[]],[5,[]],[9,[9]],[16,[16]],[19,[]],[33,[]],[31,[]],[50,[]],[23,[]],[11,[11]]]],[[[12,[12,10,9,11]]],[[37,[37,34,35]]],[[17,[21,24,23,17,19,16]]],[[29,[29,32,33,31,25,36]]],[[1,[47,43,44,45,46,40,38,39]]],[[10,[48,49,50,42,41]]]]]</t>
  </si>
  <si>
    <t>[[[[0,[18,1,27,26,13,3,22,6,20,28,30,14,15]],[34,[34,35,37]],[18,[]],[1,[43,44,45,46,40,38,39]],[27,[]],[40,[]],[26,[]],[43,[]],[13,[]],[3,[]],[35,[35]],[38,[]],[22,[]],[6,[]],[44,[]],[47,[47]],[20,[]],[28,[]],[45,[]],[30,[]],[39,[]],[14,[]],[15,[]],[46,[]],[37,[37]]],[[0,[4,12,17,10,7,8,21,2,24,5,9,16,19,23,11]],[4,[]],[12,[]],[29,[29,32,33,31,25]],[17,[36]],[36,[]],[10,[48,49,50,42,41]],[7,[]],[25,[]],[32,[]],[8,[]],[48,[]],[21,[]],[42,[]],[49,[]],[2,[]],[24,[]],[41,[]],[5,[]],[9,[]],[16,[]],[19,[]],[33,[]],[31,[]],[50,[]],[23,[]],[11,[]]]],[[[34,[34,35,37]]],[[29,[29,32,33,31,25]]],[[17,[36]]],[[1,[43,44,45,46,40,38,39]]],[[10,[48,49,50,42,41]]],[[47,[47]]]]]</t>
  </si>
  <si>
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</si>
  <si>
    <t>[[[[0,[37,18,34,26,27,13,3,35,22,6,20,28,30,15,1]],[37,[]],[18,[]],[34,[]],[43,[47,43,45,44,46,40,38,39]],[26,[]],[40,[40]],[27,[]],[13,[]],[3,[]],[35,[]],[38,[38]],[22,[]],[6,[]],[47,[]],[20,[]],[28,[]],[45,[]],[30,[]],[39,[39]],[44,[]],[15,[]],[1,[]],[46,[]]],[[0,[4,7,8,2,5]],[4,[]],[14,[14,11,12,10,9]],[11,[17,19,16]],[12,[12]],[29,[29,32,33,31,25,21,24,23]],[17,[36]],[36,[]],[10,[48,49,50,42,41]],[7,[]],[25,[]],[32,[]],[8,[]],[48,[]],[21,[]],[42,[]],[49,[]],[24,[]],[2,[]],[41,[]],[5,[]],[16,[]],[19,[]],[9,[9]],[33,[]],[31,[]],[50,[]],[23,[]]]],[[[14,[14,11,12,10,9]]],[[11,[17,19,16]]],[[29,[29,32,33,31,25,21,24,23]]],[[17,[36]]],[[43,[47,43,45,44,46,40,38,39]]],[[10,[48,49,50,42,41]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</si>
  <si>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</si>
  <si>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test_data/data_demand_random_50_batch_all1_equal_random/R101_1.5.dat</t>
  </si>
  <si>
    <t>[[[[0,[44,10,48,46,31,49,23,5,15,19,38,28,13,37,7,50,25,11]],[44,[]],[10,[]],[48,[]],[46,[]],[31,[]],[49,[]],[23,[]],[5,[]],[15,[]],[19,[]],[38,[]],[28,[]],[13,[]],[37,[]],[7,[]],[50,[]],[25,[]],[11,[]]],[[0,[3,1,4,2]],[3,[]],[1,[6,9,8]],[14,[14,17,16,12]],[6,[21,18,22,20]],[22,[]],[4,[29,27,26,24]],[30,[30]],[20,[]],[21,[]],[17,[]],[2,[]],[32,[32,41,40]],[29,[39,42,43]],[35,[35,36]],[39,[]],[36,[]],[16,[]],[18,[]],[27,[34,33,47,45]],[45,[]],[12,[]],[26,[]],[40,[]],[42,[]],[24,[]],[34,[]],[9,[]],[8,[]],[33,[]],[41,[]],[43,[]],[47,[]]]],[[[1,[6,9,8]]],[[14,[14,17,16,12]]],[[6,[21,18,22,20]]],[[4,[29,27,26,24]]],[[30,[30]]],[[32,[32,41,40]]],[[29,[39,42,43]]],[[35,[35,36]]],[[27,[34,33,47,45]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</si>
  <si>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</si>
  <si>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</si>
  <si>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[1,3]],[1,[]],[7,[7,10,11]],[14,[14,17,15,13]],[17,[]],[3,[]],[23,[23,19,25]],[15,[]],[5,[30,28,5]],[10,[]],[25,[35,32,31,37]],[35,[]],[32,[]],[30,[48,46,49,50,44,38,41,40]],[48,[]],[46,[]],[31,[]],[49,[]],[19,[]],[38,[]],[28,[]],[13,[]],[37,[]],[50,[]],[44,[]],[41,[]],[40,[]],[11,[]]],[[0,[6,22,12,16,2,21,20,4,18,9,8]],[6,[]],[22,[]],[12,[]],[16,[]],[29,[29,27,26,24]],[2,[]],[21,[]],[20,[]],[47,[47]],[4,[]],[27,[45,39,42,43,36,34,33]],[18,[]],[36,[]],[39,[]],[45,[]],[43,[]],[26,[]],[42,[]],[9,[]],[24,[]],[34,[]],[8,[]],[33,[]]]],[[[29,[29,27,26,24]]],[[7,[7,10,11]]],[[14,[14,17,15,13]]],[[23,[23,19,25]]],[[5,[30,28,5]]],[[25,[35,32,31,37]]],[[30,[48,46,49,50,44,38,41,40]]],[[47,[47]]],[[27,[45,39,42,43,36,34,33]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</si>
  <si>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</si>
  <si>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[31,23,19,38,15,28,13,37,7,25,41,40,11]],[30,[30]],[48,[48,49,50,44]],[46,[46]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,[30,[30]]],[[20,[45,47]],[48,[48,49,50,44]]],[[35,[35,36,34,33]],[46,[46]]]]]</t>
  </si>
  <si>
    <t>test_data/data_demand_random_50_batch_all1_equal_random/R101_1.dat</t>
  </si>
  <si>
    <t>[[[[0,[7,14,6,3,1,20,18,5,12]],[9,[9]],[7,[25,24,22]],[30,[30,34,33]],[25,[37,38,41,40]],[34,[]],[14,[42,43,44]],[24,[]],[6,[]],[3,[48,46,50]],[42,[]],[48,[]],[37,[]],[43,[]],[44,[]],[1,[]],[20,[]],[33,[]],[38,[]],[18,[]],[41,[]],[46,[]],[5,[]],[22,[]],[12,[]],[40,[]],[50,[]]],[[0,[16,11,15,21,4,10,17,13,19,8,2]],[16,[]],[11,[]],[15,[]],[21,[31,29,32]],[4,[]],[31,[31]],[29,[39,36,35,45]],[45,[26,27,28,23]],[26,[47,49]],[39,[]],[36,[]],[35,[]],[10,[]],[27,[27]],[17,[]],[13,[]],[19,[]],[32,[32]],[28,[28]],[47,[]],[49,[]],[23,[23]],[8,[]],[2,[]]]],[[[21,[31,29,32]]],[[9,[9]]],[[7,[25,24,22]]],[[30,[30,34,33]]],[[25,[37,38,41,40]]],[[29,[39,36,35,45]]],[[14,[42,43,44]]],[[45,[26,27,28,23]]],[[3,[48,46,50]]],[[26,[47,49]]]]]</t>
  </si>
  <si>
    <t>[[[[0,[30,25,14,34,24,6,3,37,1,20,33,38,18,41,12,40]],[30,[]],[25,[]],[14,[]],[34,[]],[24,[]],[6,[48,46,50]],[3,[]],[42,[42,43,44]],[48,[]],[37,[]],[43,[43,43,43,43]],[44,[44,44,44,44]],[1,[]],[20,[]],[33,[]],[38,[]],[18,[]],[41,[]],[46,[]],[12,[]],[40,[]],[50,[]]],[[0,[5,8,7,9,4,10,2]],[5,[]],[8,[17,21,19]],[17,[]],[27,[27,26,28,23]],[7,[]],[9,[16,11,15,13]],[26,[39,36,35,22]],[39,[]],[29,[29,31,32,45]],[16,[]],[11,[47,49]],[15,[]],[31,[]],[4,[]],[21,[]],[45,[]],[36,[]],[35,[]],[10,[]],[13,[]],[19,[]],[32,[]],[28,[]],[47,[]],[49,[]],[23,[]],[22,[]],[2,[]]]],[[[8,[17,21,19]]],[[27,[27,26,28,23]]],[[9,[16,11,15,13]]],[[26,[39,36,35,22]]],[[29,[29,31,32,45]]],[[11,[47,49]]],[[6,[48,46,50]]],[[42,[42,43,44]]]]]</t>
  </si>
  <si>
    <t>[[[[0,[25,14,34,24,6,3,37,44,1,20,33,38,18,41,5,12]],[25,[]],[14,[48,46,50,43]],[34,[]],[24,[]],[6,[]],[3,[]],[48,[]],[37,[]],[43,[]],[44,[]],[1,[]],[20,[]],[33,[]],[38,[]],[18,[]],[41,[]],[46,[]],[5,[40]],[12,[]],[40,[]],[50,[]]],[[0,[2,8,9,4,10,7]],[2,[13,16,11,15]],[8,[]],[13,[21,17,19]],[17,[]],[27,[27,26,28,23]],[26,[]],[29,[29,30,31,32]],[30,[]],[9,[39,36,35,42]],[42,[]],[16,[47,49,45]],[11,[]],[15,[]],[31,[]],[4,[]],[21,[]],[45,[]],[39,[]],[36,[]],[35,[]],[10,[]],[28,[]],[47,[]],[49,[]],[19,[]],[32,[]],[23,[]],[22,[22]],[7,[]]]],[[[14,[48,46,50,43]]],[[2,[13,16,11,15]]],[[13,[21,17,19]]],[[27,[27,26,28,23]]],[[29,[29,30,31,32]]],[[9,[39,36,35,42]]],[[16,[47,49,45]]],[[5,[40]],[22,[22]]]]]</t>
  </si>
  <si>
    <t>[[[[0,[30,24,34,25,14,37,1,20,33,38,18,41,5,12,40]],[30,[]],[24,[]],[34,[]],[25,[48,46,50,42,43,44]],[14,[]],[42,[]],[48,[]],[37,[]],[43,[]],[44,[]],[1,[]],[20,[]],[33,[]],[38,[]],[18,[]],[41,[]],[46,[]],[5,[]],[12,[]],[40,[]],[50,[]]],[[0,[6,3,9,4,10,8,2,7]],[6,[]],[3,[16,11,15,13]],[9,[26,27,28,23,21,17,19,22]],[16,[]],[29,[29,31,32]],[11,[]],[15,[]],[31,[]],[4,[]],[21,[]],[45,[45]],[26,[47,49,39,36,35]],[39,[]],[36,[]],[35,[]],[10,[]],[17,[]],[27,[]],[8,[]],[47,[]],[28,[]],[13,[]],[19,[]],[32,[]],[49,[]],[23,[]],[22,[22]],[2,[]],[7,[]]]],[[[25,[48,46,50,42,43,44]]],[[3,[16,11,15,13]]],[[9,[26,27,28,23,21,17,19,22]]],[[29,[29,31,32]]],[[45,[45]]],[[26,[47,49,39,36,35]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</si>
  <si>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</si>
  <si>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[4,3,1]],[16,[14,12,16,15]],[15,[]],[4,[21,20,18]],[21,[]],[29,[34,33,29,30,25,24,22]],[30,[]],[14,[37,38,41,40]],[25,[]],[34,[]],[24,[]],[3,[]],[42,[48,46,50,42,43,44]],[48,[]],[37,[]],[43,[]],[44,[]],[1,[]],[20,[]],[33,[]],[38,[]],[18,[]],[41,[]],[46,[]],[12,[]],[22,[]],[40,[]],[50,[]]],[[0,[2]],[6,[6]],[9,[7,5,8,10,9]],[7,[7]],[5,[5]],[2,[]],[8,[8]],[26,[36,35,26,28,27,23,31]],[39,[39,32,45]],[11,[19,17,11,13]],[31,[]],[45,[47,49]],[36,[]],[35,[]],[10,[10]],[13,[]],[19,[]],[32,[]],[23,[]],[49,[]],[28,[]],[47,[]],[17,[]],[27,[]]]],[[[6,[6]]],[[16,[14,12,16,15]]],[[9,[7,5,8,10,9]]],[[4,[21,20,18]]],[[29,[34,33,29,30,25,24,22]]],[[14,[37,38,41,40]]],[[26,[36,35,26,28,27,23,31]]],[[39,[39,32,45]]],[[42,[48,46,50,42,43,44]]],[[11,[19,17,11,13]]],[[45,[47,49]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</si>
  <si>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</si>
  <si>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</si>
  <si>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</si>
  <si>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</si>
  <si>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</si>
  <si>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</si>
  <si>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[6,5,4,2,1,3]],[6,[8,10,9]],[5,[]],[4,[]],[8,[]],[2,[]],[16,[23,16,21]],[15,[15]],[23,[]],[1,[]],[28,[28,29]],[33,[34,35,32,36,27,26,33]],[3,[]],[26,[]],[27,[]],[29,[]],[21,[]],[34,[]],[35,[]],[9,[]],[36,[]],[47,[43,44,48,39,41,47]],[10,[]],[48,[]],[39,[]],[32,[]],[41,[]],[43,[]],[44,[]]],[[0,[17,18,14,13,12,11,7]],[17,[]],[18,[]],[14,[30,24,31,25,19,22,20]],[19,[]],[13,[]],[25,[]],[31,[]],[22,[]],[12,[]],[20,[]],[24,[]],[30,[]],[11,[42]],[42,[]],[7,[]],[40,[49,46,50,45,40,38,37]],[49,[]],[38,[]],[37,[]],[46,[]],[50,[]],[45,[]]]],[[[14,[30,24,31,25,19,22,20]]],[[6,[8,10,9]]],[[16,[23,16,21]]],[[15,[15]]],[[28,[28,29]]],[[33,[34,35,32,36,27,26,33]]],[[47,[43,44,48,39,41,47]]],[[11,[42]]],[[40,[49,46,50,45,40,38,37]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</si>
  <si>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</si>
  <si>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</si>
  <si>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test_data/data_demand_random_50_batch_all1_equal_random/R101_2.dat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</si>
  <si>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</si>
  <si>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</si>
  <si>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</si>
  <si>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</si>
  <si>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</si>
  <si>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</si>
  <si>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</si>
  <si>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</si>
  <si>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</si>
  <si>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</si>
  <si>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[4,1,5,3,6]],[4,[]],[1,[]],[8,[8,7,10]],[7,[13,12,15,16,14]],[12,[]],[16,[]],[10,[]],[13,[]],[5,[]],[19,[18,19]],[23,[23,25,24]],[25,[]],[18,[]],[3,[27,28,30,31]],[24,[]],[14,[]],[30,[34,33]],[33,[]],[15,[]],[28,[]],[27,[]],[40,[40,35,39]],[39,[]],[6,[43,41,44]],[35,[]],[43,[]],[41,[49,48]],[48,[]],[44,[]],[49,[]],[34,[]],[31,[]]],[[0,[21,17,22,26,2,20,11,9]],[21,[]],[17,[]],[22,[]],[26,[]],[2,[]],[38,[32,29,36,37,38]],[37,[]],[20,[]],[32,[]],[11,[]],[29,[]],[36,[]],[9,[50,47,46,42,45]],[47,[]],[45,[]],[42,[]],[46,[]],[50,[]]]],[[[8,[8,7,10]]],[[7,[13,12,15,16,14]]],[[19,[18,19]]],[[23,[23,25,24]]],[[38,[32,29,36,37,38]]],[[3,[27,28,30,31]]],[[30,[34,33]]],[[40,[40,35,39]]],[[6,[43,41,44]]],[[41,[49,48]]],[[9,[50,47,46,42,45]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</si>
  <si>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</si>
  <si>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[[[[0,[9,6,10,7,16,12,5,18,19]],[9,[]],[23,[23,25]],[6,[]],[10,[]],[7,[]],[16,[27,28,30]],[12,[]],[5,[]],[25,[]],[18,[]],[32,[32,34,33]],[19,[]],[40,[40,43,41,44]],[27,[]],[28,[]],[34,[]],[33,[]],[30,[49,48]],[43,[]],[41,[]],[36,[36]],[49,[]],[44,[]],[48,[]],[39,[39]]],[[0,[4,14,15,3,13,11,2,8,21,1,20]],[4,[]],[14,[]],[15,[24,22,26,17]],[17,[]],[24,[]],[22,[]],[26,[]],[3,[]],[13,[]],[11,[38,37,35]],[2,[]],[8,[]],[21,[]],[1,[]],[35,[]],[38,[]],[37,[]],[20,[]],[46,[46,29,31]],[42,[42,45]],[45,[]],[50,[50,47]],[47,[]],[29,[]],[31,[]]]],[[[23,[23,25]],[15,[24,22,26,17]]],[[16,[27,28,30]]],[[32,[32,34,33]]],[[40,[40,43,41,44]]],[[11,[38,37,35]]],[[30,[49,48]]],[[46,[46,29,31]],[36,[36]]],[[42,[42,45]]],[[50,[50,47]],[39,[39]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</si>
  <si>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[36,[36,33,34,22]]],[[32,[32]],[24,[30,28,27,31]]],[[38,[40,39,38]],[8,[14]]],[[25,[41,44,48,49]]],[[43,[43,37,35]]],[[50,[50]]],[[46,[46,42,45,47]]]]]</t>
  </si>
  <si>
    <t>test_data/data_demand_random_50_batch_all1_equal_random/RC101_0.5.dat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</si>
  <si>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</si>
  <si>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</si>
  <si>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</si>
  <si>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</si>
  <si>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</si>
  <si>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[12,45,20,34,26,31,49,10,6,37,40,44,14,27,47,35,13,43,39,50,23,22,29,41,16,9,33,32,1]],[12,[]],[45,[]],[20,[]],[34,[]],[26,[]],[31,[]],[49,[]],[10,[]],[6,[]],[37,[]],[40,[]],[44,[]],[14,[]],[27,[]],[47,[]],[35,[]],[13,[]],[43,[]],[39,[]],[50,[]],[23,[]],[22,[]],[29,[]],[41,[]],[16,[]],[9,[]],[33,[]],[32,[]],[1,[]]],[[0,[36,21,8,24,17,15,3,5,2,46,4,38,48,42,19,30,7,28,11,18,25]],[36,[]],[21,[]],[8,[]],[24,[]],[17,[]],[15,[]],[3,[]],[5,[]],[2,[]],[46,[]],[4,[]],[38,[]],[48,[]],[42,[]],[19,[]],[30,[]],[7,[]],[28,[]],[11,[]],[18,[]],[25,[]]]],[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</si>
  <si>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</si>
  <si>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[[[[0,[12,34,26,31,8,10,6,21,37,36,40,44,14,27,35,13,43,39,1,32,33,9,16,41,29,22,23]],[12,[]],[34,[]],[26,[]],[31,[]],[49,[49,47,50]],[8,[]],[10,[]],[6,[]],[21,[]],[37,[]],[36,[]],[40,[]],[44,[]],[14,[]],[27,[]],[47,[]],[35,[]],[13,[]],[43,[]],[39,[]],[1,[]],[32,[]],[33,[]],[9,[]],[16,[]],[41,[]],[29,[]],[22,[]],[23,[]],[50,[]]],[[0,[24,17,15,3,20,5,2,46,4,38,48,42,19,30,7,28,11,18,25]],[24,[45]],[17,[]],[15,[]],[3,[]],[45,[]],[20,[]],[5,[]],[2,[]],[46,[]],[4,[]],[38,[]],[48,[]],[42,[]],[19,[]],[30,[]],[7,[]],[28,[]],[11,[]],[18,[]],[25,[]]]],[[[24,[45]],[49,[49,47,50]]]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</si>
  <si>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</si>
  <si>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[10,17,26,31,24,49,8,21,6,37,14,44,40,36,47,35,13,27,43,39,33,32,9,41,16,29,22]],[10,[]],[17,[]],[26,[]],[31,[]],[24,[]],[49,[]],[8,[]],[21,[]],[6,[]],[37,[]],[14,[]],[44,[]],[40,[]],[36,[]],[47,[]],[35,[]],[13,[]],[27,[]],[43,[]],[39,[]],[33,[]],[32,[]],[9,[]],[41,[]],[16,[]],[29,[]],[22,[]]],[[0,[12,34,3,15,5,20,45,4,2,46,38,25,18,11,28,7,30,19,42,48,23,50,1]],[12,[]],[34,[]],[3,[]],[15,[]],[5,[]],[20,[]],[45,[]],[4,[]],[2,[]],[46,[]],[38,[]],[25,[]],[18,[]],[11,[]],[28,[]],[7,[]],[30,[]],[19,[]],[42,[]],[48,[]],[23,[]],[50,[]],[1,[]]]],[]]</t>
  </si>
  <si>
    <t>[[[[0,[12,34,26,31,8,21,37,6,36,40,44,14,27,35,13,43,39,1,9,32,33,16,41,29,22,23]],[12,[]],[34,[]],[26,[]],[31,[]],[24,[47,50,24]],[49,[49]],[8,[]],[21,[]],[37,[]],[6,[]],[36,[]],[40,[]],[44,[]],[14,[]],[27,[]],[47,[]],[35,[]],[13,[]],[43,[]],[39,[]],[1,[]],[9,[]],[32,[]],[33,[]],[16,[]],[41,[]],[29,[]],[22,[]],[23,[]],[50,[]]],[[0,[10,17,15,3,20,5,2,46,4,38,48,42,19,30,7,28,11,18,25]],[10,[]],[17,[45]],[15,[]],[3,[]],[45,[]],[20,[]],[5,[]],[2,[]],[46,[]],[4,[]],[38,[]],[48,[]],[42,[]],[19,[]],[30,[]],[7,[]],[28,[]],[11,[]],[18,[]],[25,[]]]],[[[24,[47,50,24]]],[[17,[45]],[49,[49]]]]]</t>
  </si>
  <si>
    <t>test_data/data_demand_random_50_batch_all1_equal_random/RC101_1.dat</t>
  </si>
  <si>
    <t>[[[[0,[35,30,42,4,23,34,21,37,46,7,44,38,27,33,8,24,22,47,31,41,50,10,49,15,9,26,5,11,1,40]],[35,[]],[30,[]],[42,[]],[4,[]],[23,[]],[34,[]],[21,[]],[37,[]],[46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</si>
  <si>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[35,30,4,23,34,21,7,8,33,27,24,22,31,10,15,9,26,5,11,1]],[35,[37,38,40]],[30,[42,44,41]],[42,[]],[4,[]],[23,[]],[34,[]],[21,[]],[37,[]],[46,[46,47,50,49]],[7,[]],[44,[]],[8,[]],[33,[]],[27,[]],[38,[]],[24,[]],[22,[]],[47,[]],[31,[]],[41,[]],[50,[]],[10,[]],[49,[]],[15,[]],[9,[]],[26,[]],[5,[]],[11,[]],[1,[]],[40,[]]],[[0,[36,12,2,32,13,28,16,6,39,19,3,29,20,25,18,14]],[36,[]],[12,[]],[17,[17]],[2,[]],[32,[]],[13,[]],[28,[]],[45,[48,43,45]],[16,[]],[43,[]],[6,[]],[39,[]],[19,[]],[3,[]],[29,[]],[20,[]],[25,[]],[48,[]],[18,[]],[14,[]]]],[[[35,[37,38,40]]],[[30,[42,44,41]],[17,[17]]],[[46,[46,47,50,49]]],[[45,[48,43,45]]]]]</t>
  </si>
  <si>
    <t>[[[[0,[46,37,21,34,23,4,42,35,30,7,44,38,27,33,8,24,22,47,31,41,50,10,49,15,9,26,5,11,1,40]],[46,[]],[37,[]],[21,[]],[34,[]],[23,[]],[4,[]],[42,[]],[35,[]],[30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</si>
  <si>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[7,30,4,23,21,27,8,24,22,31,10,15,9,26,5,11,1]],[7,[37,38,40,34,33,35]],[30,[]],[35,[]],[42,[42]],[4,[]],[23,[]],[34,[]],[21,[47,50,49,44,41,46]],[37,[]],[46,[]],[44,[]],[38,[]],[27,[]],[33,[]],[8,[]],[24,[]],[22,[]],[47,[]],[31,[]],[41,[]],[50,[]],[10,[]],[49,[]],[15,[]],[9,[]],[26,[]],[5,[]],[11,[]],[1,[]],[40,[]]],[[0,[14,18,25,20,29,3,19,39,6,17,36,12,43,16,45,28,13,32,2]],[14,[48]],[18,[]],[48,[]],[25,[]],[20,[]],[29,[]],[3,[]],[19,[]],[39,[]],[6,[]],[17,[]],[36,[]],[12,[]],[43,[]],[16,[]],[45,[]],[28,[]],[13,[]],[32,[]],[2,[]]]],[[[7,[37,38,40,34,33,35]]],[[42,[42]]],[[21,[47,50,49,44,41,46]]],[[14,[48]]]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</si>
  <si>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</si>
  <si>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</si>
  <si>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</si>
  <si>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</si>
  <si>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</si>
  <si>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test_data/data_demand_random_50_batch_all1_equal_random/RC101_2.dat</t>
  </si>
  <si>
    <t>[[[[0,[39,16,3,47,33,44,7,29,35,46,23,11,6,5,34,19,24,14,22,10,50,43,12,38,48,28,36,26,13,17]],[39,[]],[16,[]],[3,[]],[47,[]],[33,[]],[44,[]],[7,[]],[29,[]],[35,[]],[46,[]],[23,[]],[11,[]],[6,[]],[5,[]],[34,[]],[19,[]],[24,[]],[14,[]],[22,[]],[10,[]],[50,[]],[43,[]],[12,[]],[38,[]],[48,[]],[28,[]],[36,[]],[26,[]],[13,[]],[17,[]]],[[0,[49,32,30,45,15,42,21,20,37,27,9,41,31,25,40,8,1,4,2,18]],[49,[]],[32,[]],[30,[]],[45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</si>
  <si>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</si>
  <si>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[17,36,28,48,12,38,43,50,26,13,10,22,14,24,19,34,5,11,23,6,16,3,47,33,44,7,29,46,35,39]],[17,[]],[36,[]],[28,[]],[48,[]],[12,[]],[38,[]],[43,[]],[50,[]],[26,[]],[13,[]],[10,[]],[22,[]],[14,[]],[24,[]],[19,[]],[34,[]],[5,[]],[11,[]],[23,[]],[6,[]],[16,[]],[3,[]],[47,[]],[33,[]],[44,[]],[7,[]],[29,[]],[46,[]],[35,[]],[39,[]]],[[0,[49,32,30,45,15,42,21,20,37,27,9,41,31,25,40,8,1,4,2,18]],[49,[]],[32,[]],[30,[]],[45,[]],[15,[]],[42,[]],[21,[]],[20,[]],[37,[]],[27,[]],[9,[]],[41,[]],[31,[]],[25,[]],[40,[]],[8,[]],[1,[]],[4,[]],[2,[]],[18,[]]]],[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</si>
  <si>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</si>
  <si>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</si>
  <si>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</si>
  <si>
    <t>[[[[0,[40,16,21,44,27,50,10,34,30,46,43,20,9,29,33,42,25,28,22,41,17,47,23,1,37,39,31,19,12,5]],[40,[]],[16,[]],[21,[]],[44,[]],[27,[]],[50,[]],[10,[]],[34,[]],[30,[]],[46,[]],[43,[]],[20,[]],[9,[]],[29,[]],[33,[]],[42,[]],[25,[]],[28,[]],[22,[]],[41,[]],[17,[]],[47,[]],[23,[]],[1,[]],[37,[]],[39,[]],[31,[]],[19,[]],[12,[]],[5,[]]],[[0,[45,26,35,32,3,48,11,13,4,38,24,7,49,18,14,15,6,36,2,8]],[45,[]],[26,[]],[35,[]],[32,[]],[3,[]],[48,[]],[11,[]],[13,[]],[4,[]],[38,[]],[24,[]],[7,[]],[49,[]],[18,[]],[14,[]],[15,[]],[6,[]],[36,[]],[2,[]],[8,[]]]],[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</si>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</sst>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9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2" max="2" width="49.83203125" customWidth="1"/>
    <col min="3" max="3" width="9.6640625" customWidth="1"/>
  </cols>
  <sheetData>
    <row r="1" spans="1:33" x14ac:dyDescent="0.2">
      <c r="A1" t="s">
        <v>0</v>
      </c>
      <c r="B1" t="s">
        <v>1</v>
      </c>
      <c r="C1" t="s">
        <v>18</v>
      </c>
      <c r="D1" t="s">
        <v>363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">
      <c r="A2" s="1">
        <v>1</v>
      </c>
      <c r="B2" t="s">
        <v>31</v>
      </c>
      <c r="C2">
        <f>VALUE(_xlfn.TEXTBEFORE(_xlfn.TEXTAFTER(B2,"_",-1),".dat"))</f>
        <v>0.5</v>
      </c>
      <c r="D2" t="s">
        <v>32</v>
      </c>
      <c r="E2" s="1">
        <v>4</v>
      </c>
      <c r="F2" s="1">
        <v>60</v>
      </c>
      <c r="G2" s="1">
        <v>1</v>
      </c>
      <c r="H2" s="1">
        <v>461</v>
      </c>
      <c r="I2" t="s">
        <v>33</v>
      </c>
      <c r="J2" s="1">
        <v>511</v>
      </c>
      <c r="K2" t="s">
        <v>34</v>
      </c>
      <c r="L2" s="1">
        <v>32.503285420468004</v>
      </c>
      <c r="M2" s="1">
        <v>0</v>
      </c>
      <c r="N2" s="1">
        <v>4</v>
      </c>
      <c r="O2" s="1">
        <v>3.75</v>
      </c>
      <c r="P2" s="1">
        <v>33.526109228480003</v>
      </c>
      <c r="Q2" s="1">
        <v>1</v>
      </c>
      <c r="R2" s="1">
        <v>2</v>
      </c>
      <c r="S2" s="1">
        <v>2</v>
      </c>
      <c r="T2" t="s">
        <v>35</v>
      </c>
      <c r="U2" s="1">
        <v>0.5</v>
      </c>
      <c r="V2" s="1">
        <v>37.503285420468004</v>
      </c>
      <c r="W2" s="1">
        <v>150.01314168187201</v>
      </c>
      <c r="X2" s="1">
        <v>0.77769256906899997</v>
      </c>
      <c r="Y2" s="1">
        <v>0</v>
      </c>
      <c r="Z2" s="1">
        <v>38.526109228480003</v>
      </c>
      <c r="AA2" s="1">
        <v>38.526109228480003</v>
      </c>
      <c r="AB2" s="1">
        <v>0</v>
      </c>
      <c r="AC2" s="1">
        <v>0</v>
      </c>
      <c r="AD2" t="s">
        <v>36</v>
      </c>
    </row>
    <row r="3" spans="1:33" x14ac:dyDescent="0.2">
      <c r="A3" s="1">
        <v>2</v>
      </c>
      <c r="B3" t="s">
        <v>31</v>
      </c>
      <c r="C3">
        <f t="shared" ref="C3:C66" si="0">VALUE(_xlfn.TEXTBEFORE(_xlfn.TEXTAFTER(B3,"_",-1),".dat"))</f>
        <v>0.5</v>
      </c>
      <c r="D3" t="s">
        <v>32</v>
      </c>
      <c r="E3" s="1">
        <v>4</v>
      </c>
      <c r="F3" s="1">
        <v>90</v>
      </c>
      <c r="G3" s="1">
        <v>1</v>
      </c>
      <c r="H3" s="1">
        <v>461</v>
      </c>
      <c r="I3" t="s">
        <v>33</v>
      </c>
      <c r="L3" s="1">
        <v>32.503285420468004</v>
      </c>
      <c r="M3" s="1">
        <v>0</v>
      </c>
      <c r="N3" s="1">
        <v>4</v>
      </c>
      <c r="O3" s="1">
        <v>3.75</v>
      </c>
      <c r="T3" t="s">
        <v>35</v>
      </c>
      <c r="U3" s="1">
        <v>0.5</v>
      </c>
      <c r="V3" s="1">
        <v>37.503285420468004</v>
      </c>
      <c r="W3" s="1">
        <v>150.01314168187201</v>
      </c>
      <c r="X3" s="1">
        <v>0.77769256906899997</v>
      </c>
      <c r="Y3" s="1">
        <v>0</v>
      </c>
      <c r="AD3" t="s">
        <v>36</v>
      </c>
    </row>
    <row r="4" spans="1:33" x14ac:dyDescent="0.2">
      <c r="A4" s="1">
        <v>3</v>
      </c>
      <c r="B4" t="s">
        <v>31</v>
      </c>
      <c r="C4">
        <f t="shared" si="0"/>
        <v>0.5</v>
      </c>
      <c r="D4" t="s">
        <v>32</v>
      </c>
      <c r="E4" s="1">
        <v>4</v>
      </c>
      <c r="F4" s="1">
        <v>120</v>
      </c>
      <c r="G4" s="1">
        <v>1</v>
      </c>
      <c r="H4" s="1">
        <v>461</v>
      </c>
      <c r="I4" t="s">
        <v>33</v>
      </c>
      <c r="J4" s="1">
        <v>480</v>
      </c>
      <c r="K4" t="s">
        <v>37</v>
      </c>
      <c r="L4" s="1">
        <v>32.503285420468004</v>
      </c>
      <c r="M4" s="1">
        <v>0</v>
      </c>
      <c r="N4" s="1">
        <v>4</v>
      </c>
      <c r="O4" s="1">
        <v>3.75</v>
      </c>
      <c r="P4" s="1">
        <v>31.257261447019001</v>
      </c>
      <c r="Q4" s="1">
        <v>1</v>
      </c>
      <c r="R4" s="1">
        <v>2</v>
      </c>
      <c r="S4" s="1">
        <v>4</v>
      </c>
      <c r="T4" t="s">
        <v>35</v>
      </c>
      <c r="U4" s="1">
        <v>0.5</v>
      </c>
      <c r="V4" s="1">
        <v>37.503285420468004</v>
      </c>
      <c r="W4" s="1">
        <v>150.01314168187201</v>
      </c>
      <c r="X4" s="1">
        <v>0.77769256906899997</v>
      </c>
      <c r="Y4" s="1">
        <v>0</v>
      </c>
      <c r="Z4" s="1">
        <v>36.257261447018998</v>
      </c>
      <c r="AA4" s="1">
        <v>72.514522894037995</v>
      </c>
      <c r="AB4" s="1">
        <v>0</v>
      </c>
      <c r="AC4" s="1">
        <v>0</v>
      </c>
      <c r="AD4" t="s">
        <v>36</v>
      </c>
    </row>
    <row r="5" spans="1:33" x14ac:dyDescent="0.2">
      <c r="A5" s="1">
        <v>4</v>
      </c>
      <c r="B5" t="s">
        <v>31</v>
      </c>
      <c r="C5">
        <f t="shared" si="0"/>
        <v>0.5</v>
      </c>
      <c r="D5" t="s">
        <v>32</v>
      </c>
      <c r="E5" s="1">
        <v>8</v>
      </c>
      <c r="F5" s="1">
        <v>60</v>
      </c>
      <c r="G5" s="1">
        <v>1</v>
      </c>
      <c r="H5" s="1">
        <v>461</v>
      </c>
      <c r="I5" t="s">
        <v>33</v>
      </c>
      <c r="J5" s="1">
        <v>491</v>
      </c>
      <c r="K5" t="s">
        <v>38</v>
      </c>
      <c r="L5" s="1">
        <v>32.503285420468004</v>
      </c>
      <c r="M5" s="1">
        <v>0</v>
      </c>
      <c r="N5" s="1">
        <v>4</v>
      </c>
      <c r="O5" s="1">
        <v>3.75</v>
      </c>
      <c r="P5" s="1">
        <v>33.526109228480003</v>
      </c>
      <c r="Q5" s="1">
        <v>1</v>
      </c>
      <c r="R5" s="1">
        <v>1</v>
      </c>
      <c r="S5" s="1">
        <v>7</v>
      </c>
      <c r="T5" t="s">
        <v>35</v>
      </c>
      <c r="U5" s="1">
        <v>0.5</v>
      </c>
      <c r="V5" s="1">
        <v>37.503285420468004</v>
      </c>
      <c r="W5" s="1">
        <v>150.01314168187201</v>
      </c>
      <c r="X5" s="1">
        <v>0.77769256906899997</v>
      </c>
      <c r="Y5" s="1">
        <v>0</v>
      </c>
      <c r="Z5" s="1">
        <v>38.526109228480003</v>
      </c>
      <c r="AA5" s="1">
        <v>38.526109228480003</v>
      </c>
      <c r="AB5" s="1">
        <v>0</v>
      </c>
      <c r="AC5" s="1">
        <v>0</v>
      </c>
      <c r="AD5" t="s">
        <v>36</v>
      </c>
    </row>
    <row r="6" spans="1:33" x14ac:dyDescent="0.2">
      <c r="A6" s="1">
        <v>5</v>
      </c>
      <c r="B6" t="s">
        <v>31</v>
      </c>
      <c r="C6">
        <f t="shared" si="0"/>
        <v>0.5</v>
      </c>
      <c r="D6" t="s">
        <v>32</v>
      </c>
      <c r="E6" s="1">
        <v>8</v>
      </c>
      <c r="F6" s="1">
        <v>90</v>
      </c>
      <c r="G6" s="1">
        <v>1</v>
      </c>
      <c r="H6" s="1">
        <v>391</v>
      </c>
      <c r="I6" t="s">
        <v>39</v>
      </c>
      <c r="J6" s="1">
        <v>391</v>
      </c>
      <c r="K6" t="s">
        <v>39</v>
      </c>
      <c r="L6" s="1">
        <v>42.236892706218001</v>
      </c>
      <c r="M6" s="1">
        <v>1</v>
      </c>
      <c r="N6" s="1">
        <v>3</v>
      </c>
      <c r="O6" s="1">
        <v>4.333333333333</v>
      </c>
      <c r="P6" s="1">
        <v>42.236892706218001</v>
      </c>
      <c r="Q6" s="1">
        <v>1</v>
      </c>
      <c r="R6" s="1">
        <v>3</v>
      </c>
      <c r="S6" s="1">
        <v>4.333333333333</v>
      </c>
      <c r="T6" t="s">
        <v>35</v>
      </c>
      <c r="U6" s="1">
        <v>0.5</v>
      </c>
      <c r="V6" s="1">
        <v>47.236892706218001</v>
      </c>
      <c r="W6" s="1">
        <v>141.71067811865399</v>
      </c>
      <c r="X6" s="1">
        <v>10</v>
      </c>
      <c r="Y6" s="1">
        <v>0</v>
      </c>
      <c r="Z6" s="1">
        <v>47.236892706218001</v>
      </c>
      <c r="AA6" s="1">
        <v>141.71067811865399</v>
      </c>
      <c r="AB6" s="1">
        <v>10</v>
      </c>
      <c r="AC6" s="1">
        <v>0</v>
      </c>
      <c r="AD6" t="s">
        <v>36</v>
      </c>
    </row>
    <row r="7" spans="1:33" x14ac:dyDescent="0.2">
      <c r="A7" s="1">
        <v>6</v>
      </c>
      <c r="B7" t="s">
        <v>31</v>
      </c>
      <c r="C7">
        <f t="shared" si="0"/>
        <v>0.5</v>
      </c>
      <c r="D7" t="s">
        <v>32</v>
      </c>
      <c r="E7" s="1">
        <v>8</v>
      </c>
      <c r="F7" s="1">
        <v>120</v>
      </c>
      <c r="G7" s="1">
        <v>3</v>
      </c>
      <c r="H7" s="1">
        <v>391</v>
      </c>
      <c r="I7" t="s">
        <v>39</v>
      </c>
      <c r="J7" s="1">
        <v>441</v>
      </c>
      <c r="K7" t="s">
        <v>40</v>
      </c>
      <c r="L7" s="1">
        <v>42.236892706218001</v>
      </c>
      <c r="M7" s="1">
        <v>1</v>
      </c>
      <c r="N7" s="1">
        <v>3</v>
      </c>
      <c r="O7" s="1">
        <v>4.333333333333</v>
      </c>
      <c r="P7" s="1">
        <v>51.429371581615001</v>
      </c>
      <c r="Q7" s="1">
        <v>1</v>
      </c>
      <c r="R7" s="1">
        <v>8</v>
      </c>
      <c r="S7" s="1">
        <v>5.5</v>
      </c>
      <c r="T7" t="s">
        <v>35</v>
      </c>
      <c r="U7" s="1">
        <v>0.5</v>
      </c>
      <c r="V7" s="1">
        <v>47.236892706218001</v>
      </c>
      <c r="W7" s="1">
        <v>141.71067811865399</v>
      </c>
      <c r="X7" s="1">
        <v>10</v>
      </c>
      <c r="Y7" s="1">
        <v>0</v>
      </c>
      <c r="Z7" s="1">
        <v>56.429371581615001</v>
      </c>
      <c r="AA7" s="1">
        <v>451.43497265292001</v>
      </c>
      <c r="AB7" s="1">
        <v>5.200111532837</v>
      </c>
      <c r="AC7" s="1">
        <v>0</v>
      </c>
      <c r="AD7" t="s">
        <v>36</v>
      </c>
    </row>
    <row r="8" spans="1:33" x14ac:dyDescent="0.2">
      <c r="A8" s="1">
        <v>7</v>
      </c>
      <c r="B8" t="s">
        <v>41</v>
      </c>
      <c r="C8">
        <f t="shared" si="0"/>
        <v>1.5</v>
      </c>
      <c r="D8" t="s">
        <v>32</v>
      </c>
      <c r="E8" s="1">
        <v>4</v>
      </c>
      <c r="F8" s="1">
        <v>60</v>
      </c>
      <c r="G8" s="1">
        <v>3</v>
      </c>
      <c r="H8" s="1">
        <v>626</v>
      </c>
      <c r="I8" t="s">
        <v>42</v>
      </c>
      <c r="L8" s="1">
        <v>0</v>
      </c>
      <c r="M8" s="1">
        <v>0</v>
      </c>
      <c r="N8" s="1">
        <v>0</v>
      </c>
      <c r="O8" s="1">
        <v>0</v>
      </c>
      <c r="T8" t="s">
        <v>35</v>
      </c>
      <c r="U8" s="1">
        <v>1.5</v>
      </c>
      <c r="V8" s="1">
        <v>0</v>
      </c>
      <c r="W8" s="1">
        <v>0</v>
      </c>
      <c r="X8" s="1">
        <v>0</v>
      </c>
      <c r="Y8" s="1">
        <v>0</v>
      </c>
      <c r="AD8" t="s">
        <v>36</v>
      </c>
    </row>
    <row r="9" spans="1:33" x14ac:dyDescent="0.2">
      <c r="A9" s="1">
        <v>8</v>
      </c>
      <c r="B9" t="s">
        <v>41</v>
      </c>
      <c r="C9">
        <f t="shared" si="0"/>
        <v>1.5</v>
      </c>
      <c r="D9" t="s">
        <v>32</v>
      </c>
      <c r="E9" s="1">
        <v>4</v>
      </c>
      <c r="F9" s="1">
        <v>90</v>
      </c>
      <c r="G9" s="1">
        <v>1</v>
      </c>
      <c r="H9" s="1">
        <v>591.36067977499795</v>
      </c>
      <c r="I9" t="s">
        <v>43</v>
      </c>
      <c r="J9" s="1">
        <v>591.36067977499795</v>
      </c>
      <c r="K9" t="s">
        <v>43</v>
      </c>
      <c r="L9" s="1">
        <v>46.136783501609997</v>
      </c>
      <c r="M9" s="1">
        <v>1</v>
      </c>
      <c r="N9" s="1">
        <v>9</v>
      </c>
      <c r="O9" s="1">
        <v>3.2222222222219998</v>
      </c>
      <c r="P9" s="1">
        <v>46.136783501609997</v>
      </c>
      <c r="Q9" s="1">
        <v>1</v>
      </c>
      <c r="R9" s="1">
        <v>9</v>
      </c>
      <c r="S9" s="1">
        <v>3.2222222222219998</v>
      </c>
      <c r="T9" t="s">
        <v>35</v>
      </c>
      <c r="U9" s="1">
        <v>1.5</v>
      </c>
      <c r="V9" s="1">
        <v>51.136783501609997</v>
      </c>
      <c r="W9" s="1">
        <v>460.23105151448999</v>
      </c>
      <c r="X9" s="1">
        <v>1.1511866416659999</v>
      </c>
      <c r="Y9" s="1">
        <v>0</v>
      </c>
      <c r="Z9" s="1">
        <v>51.136783501609997</v>
      </c>
      <c r="AA9" s="1">
        <v>460.23105151448999</v>
      </c>
      <c r="AB9" s="1">
        <v>1.1511866416659999</v>
      </c>
      <c r="AC9" s="1">
        <v>0</v>
      </c>
      <c r="AD9" t="s">
        <v>36</v>
      </c>
    </row>
    <row r="10" spans="1:33" x14ac:dyDescent="0.2">
      <c r="A10" s="1">
        <v>9</v>
      </c>
      <c r="B10" t="s">
        <v>41</v>
      </c>
      <c r="C10">
        <f t="shared" si="0"/>
        <v>1.5</v>
      </c>
      <c r="D10" t="s">
        <v>32</v>
      </c>
      <c r="E10" s="1">
        <v>4</v>
      </c>
      <c r="F10" s="1">
        <v>120</v>
      </c>
      <c r="G10" s="1">
        <v>1</v>
      </c>
      <c r="H10" s="1">
        <v>591.36067977499795</v>
      </c>
      <c r="I10" t="s">
        <v>43</v>
      </c>
      <c r="J10" s="1">
        <v>653</v>
      </c>
      <c r="K10" t="s">
        <v>44</v>
      </c>
      <c r="L10" s="1">
        <v>46.136783501609997</v>
      </c>
      <c r="M10" s="1">
        <v>1</v>
      </c>
      <c r="N10" s="1">
        <v>9</v>
      </c>
      <c r="O10" s="1">
        <v>3.2222222222219998</v>
      </c>
      <c r="P10" s="1">
        <v>54.923495084389998</v>
      </c>
      <c r="Q10" s="1">
        <v>1</v>
      </c>
      <c r="R10" s="1">
        <v>8</v>
      </c>
      <c r="S10" s="1">
        <v>3.5</v>
      </c>
      <c r="T10" t="s">
        <v>35</v>
      </c>
      <c r="U10" s="1">
        <v>1.5</v>
      </c>
      <c r="V10" s="1">
        <v>51.136783501609997</v>
      </c>
      <c r="W10" s="1">
        <v>460.23105151448999</v>
      </c>
      <c r="X10" s="1">
        <v>1.1511866416659999</v>
      </c>
      <c r="Y10" s="1">
        <v>0</v>
      </c>
      <c r="Z10" s="1">
        <v>60.548495084389998</v>
      </c>
      <c r="AA10" s="1">
        <v>484.38796067511998</v>
      </c>
      <c r="AB10" s="1">
        <v>1.566639026916</v>
      </c>
      <c r="AC10" s="1">
        <v>3.1800154298310002</v>
      </c>
      <c r="AD10" t="s">
        <v>36</v>
      </c>
    </row>
    <row r="11" spans="1:33" x14ac:dyDescent="0.2">
      <c r="A11" s="1">
        <v>10</v>
      </c>
      <c r="B11" t="s">
        <v>41</v>
      </c>
      <c r="C11">
        <f t="shared" si="0"/>
        <v>1.5</v>
      </c>
      <c r="D11" t="s">
        <v>32</v>
      </c>
      <c r="E11" s="1">
        <v>8</v>
      </c>
      <c r="F11" s="1">
        <v>60</v>
      </c>
      <c r="G11" s="1">
        <v>1</v>
      </c>
      <c r="H11" s="1">
        <v>589.53143344751095</v>
      </c>
      <c r="I11" t="s">
        <v>45</v>
      </c>
      <c r="L11" s="1">
        <v>33.649368030215001</v>
      </c>
      <c r="M11" s="1">
        <v>0</v>
      </c>
      <c r="N11" s="1">
        <v>9</v>
      </c>
      <c r="O11" s="1">
        <v>4.4444444444439997</v>
      </c>
      <c r="T11" t="s">
        <v>35</v>
      </c>
      <c r="U11" s="1">
        <v>1.5</v>
      </c>
      <c r="V11" s="1">
        <v>38.649368030215001</v>
      </c>
      <c r="W11" s="1">
        <v>347.844312271935</v>
      </c>
      <c r="X11" s="1">
        <v>8.0036146425410006</v>
      </c>
      <c r="Y11" s="1">
        <v>0</v>
      </c>
      <c r="AD11" t="s">
        <v>36</v>
      </c>
    </row>
    <row r="12" spans="1:33" x14ac:dyDescent="0.2">
      <c r="A12" s="1">
        <v>11</v>
      </c>
      <c r="B12" t="s">
        <v>41</v>
      </c>
      <c r="C12">
        <f t="shared" si="0"/>
        <v>1.5</v>
      </c>
      <c r="D12" t="s">
        <v>32</v>
      </c>
      <c r="E12" s="1">
        <v>8</v>
      </c>
      <c r="F12" s="1">
        <v>90</v>
      </c>
      <c r="G12" s="1">
        <v>1</v>
      </c>
      <c r="H12" s="1">
        <v>585.19803902718604</v>
      </c>
      <c r="I12" t="s">
        <v>46</v>
      </c>
      <c r="J12" s="1">
        <v>585.19803902718604</v>
      </c>
      <c r="K12" t="s">
        <v>46</v>
      </c>
      <c r="L12" s="1">
        <v>43.336013129865997</v>
      </c>
      <c r="M12" s="1">
        <v>2</v>
      </c>
      <c r="N12" s="1">
        <v>6</v>
      </c>
      <c r="O12" s="1">
        <v>6.666666666667</v>
      </c>
      <c r="P12" s="1">
        <v>43.336013129865997</v>
      </c>
      <c r="Q12" s="1">
        <v>2</v>
      </c>
      <c r="R12" s="1">
        <v>6</v>
      </c>
      <c r="S12" s="1">
        <v>6.666666666667</v>
      </c>
      <c r="T12" t="s">
        <v>35</v>
      </c>
      <c r="U12" s="1">
        <v>1.5</v>
      </c>
      <c r="V12" s="1">
        <v>49.169346463198998</v>
      </c>
      <c r="W12" s="1">
        <v>295.016078779194</v>
      </c>
      <c r="X12" s="1">
        <v>10.332541464833</v>
      </c>
      <c r="Y12" s="1">
        <v>0</v>
      </c>
      <c r="Z12" s="1">
        <v>49.169346463198998</v>
      </c>
      <c r="AA12" s="1">
        <v>295.016078779194</v>
      </c>
      <c r="AB12" s="1">
        <v>10.332541464833</v>
      </c>
      <c r="AC12" s="1">
        <v>0</v>
      </c>
      <c r="AD12" t="s">
        <v>36</v>
      </c>
    </row>
    <row r="13" spans="1:33" x14ac:dyDescent="0.2">
      <c r="A13" s="1">
        <v>12</v>
      </c>
      <c r="B13" t="s">
        <v>41</v>
      </c>
      <c r="C13">
        <f t="shared" si="0"/>
        <v>1.5</v>
      </c>
      <c r="D13" t="s">
        <v>32</v>
      </c>
      <c r="E13" s="1">
        <v>8</v>
      </c>
      <c r="F13" s="1">
        <v>120</v>
      </c>
      <c r="G13" s="1">
        <v>3</v>
      </c>
      <c r="H13" s="1">
        <v>584.72004514666901</v>
      </c>
      <c r="I13" t="s">
        <v>47</v>
      </c>
      <c r="J13" s="1">
        <v>584.72004514666901</v>
      </c>
      <c r="K13" t="s">
        <v>47</v>
      </c>
      <c r="L13" s="1">
        <v>65.573060805062994</v>
      </c>
      <c r="M13" s="1">
        <v>1</v>
      </c>
      <c r="N13" s="1">
        <v>3</v>
      </c>
      <c r="O13" s="1">
        <v>5.666666666667</v>
      </c>
      <c r="P13" s="1">
        <v>65.573060805062994</v>
      </c>
      <c r="Q13" s="1">
        <v>1</v>
      </c>
      <c r="R13" s="1">
        <v>3</v>
      </c>
      <c r="S13" s="1">
        <v>5.666666666667</v>
      </c>
      <c r="T13" t="s">
        <v>35</v>
      </c>
      <c r="U13" s="1">
        <v>1.5</v>
      </c>
      <c r="V13" s="1">
        <v>72.239727471730006</v>
      </c>
      <c r="W13" s="1">
        <v>216.71918241519001</v>
      </c>
      <c r="X13" s="1">
        <v>38.131472187042</v>
      </c>
      <c r="Y13" s="1">
        <v>10.867567581685</v>
      </c>
      <c r="Z13" s="1">
        <v>72.239727471730006</v>
      </c>
      <c r="AA13" s="1">
        <v>216.71918241519001</v>
      </c>
      <c r="AB13" s="1">
        <v>38.131472187042</v>
      </c>
      <c r="AC13" s="1">
        <v>10.867567581685</v>
      </c>
      <c r="AD13" t="s">
        <v>36</v>
      </c>
    </row>
    <row r="14" spans="1:33" x14ac:dyDescent="0.2">
      <c r="A14" s="1">
        <v>13</v>
      </c>
      <c r="B14" t="s">
        <v>48</v>
      </c>
      <c r="C14">
        <f t="shared" si="0"/>
        <v>1</v>
      </c>
      <c r="D14" t="s">
        <v>32</v>
      </c>
      <c r="E14" s="1">
        <v>4</v>
      </c>
      <c r="F14" s="1">
        <v>60</v>
      </c>
      <c r="G14" s="1">
        <v>1</v>
      </c>
      <c r="H14" s="1">
        <v>507</v>
      </c>
      <c r="I14" t="s">
        <v>49</v>
      </c>
      <c r="J14" s="1">
        <v>590</v>
      </c>
      <c r="K14" t="s">
        <v>50</v>
      </c>
      <c r="L14" s="1">
        <v>31.860796337918998</v>
      </c>
      <c r="M14" s="1">
        <v>0</v>
      </c>
      <c r="N14" s="1">
        <v>4</v>
      </c>
      <c r="O14" s="1">
        <v>3</v>
      </c>
      <c r="P14" s="1">
        <v>0</v>
      </c>
      <c r="Q14" s="1">
        <v>1</v>
      </c>
      <c r="R14" s="1">
        <v>1</v>
      </c>
      <c r="S14" s="1">
        <v>2</v>
      </c>
      <c r="T14" t="s">
        <v>35</v>
      </c>
      <c r="U14" s="1">
        <v>1</v>
      </c>
      <c r="V14" s="1">
        <v>36.860796337918998</v>
      </c>
      <c r="W14" s="1">
        <v>147.44318535167599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t="s">
        <v>36</v>
      </c>
    </row>
    <row r="15" spans="1:33" x14ac:dyDescent="0.2">
      <c r="A15" s="1">
        <v>14</v>
      </c>
      <c r="B15" t="s">
        <v>48</v>
      </c>
      <c r="C15">
        <f t="shared" si="0"/>
        <v>1</v>
      </c>
      <c r="D15" t="s">
        <v>32</v>
      </c>
      <c r="E15" s="1">
        <v>4</v>
      </c>
      <c r="F15" s="1">
        <v>90</v>
      </c>
      <c r="G15" s="1">
        <v>1</v>
      </c>
      <c r="H15" s="1">
        <v>502</v>
      </c>
      <c r="I15" t="s">
        <v>51</v>
      </c>
      <c r="J15" s="1">
        <v>531</v>
      </c>
      <c r="K15" t="s">
        <v>52</v>
      </c>
      <c r="L15" s="1">
        <v>49.155662129216999</v>
      </c>
      <c r="M15" s="1">
        <v>0</v>
      </c>
      <c r="N15" s="1">
        <v>5</v>
      </c>
      <c r="O15" s="1">
        <v>3.4</v>
      </c>
      <c r="P15" s="1">
        <v>57.823690491469002</v>
      </c>
      <c r="Q15" s="1">
        <v>1</v>
      </c>
      <c r="R15" s="1">
        <v>7</v>
      </c>
      <c r="S15" s="1">
        <v>3</v>
      </c>
      <c r="T15" t="s">
        <v>35</v>
      </c>
      <c r="U15" s="1">
        <v>1</v>
      </c>
      <c r="V15" s="1">
        <v>54.155662129216999</v>
      </c>
      <c r="W15" s="1">
        <v>270.778310646085</v>
      </c>
      <c r="X15" s="1">
        <v>4</v>
      </c>
      <c r="Y15" s="1">
        <v>0</v>
      </c>
      <c r="Z15" s="1">
        <v>63.537976205753999</v>
      </c>
      <c r="AA15" s="1">
        <v>444.76583344027802</v>
      </c>
      <c r="AB15" s="1">
        <v>7.215005643334</v>
      </c>
      <c r="AC15" s="1">
        <v>3.4994356666000002E-2</v>
      </c>
      <c r="AD15" t="s">
        <v>36</v>
      </c>
    </row>
    <row r="16" spans="1:33" x14ac:dyDescent="0.2">
      <c r="B16" t="s">
        <v>48</v>
      </c>
      <c r="C16">
        <f t="shared" si="0"/>
        <v>1</v>
      </c>
      <c r="D16" t="s">
        <v>32</v>
      </c>
      <c r="E16" s="1">
        <v>4</v>
      </c>
      <c r="F16" s="1">
        <v>120</v>
      </c>
      <c r="H16" s="1">
        <v>502</v>
      </c>
      <c r="I16" t="s">
        <v>51</v>
      </c>
      <c r="J16" s="1">
        <v>519</v>
      </c>
      <c r="K16" t="s">
        <v>53</v>
      </c>
      <c r="L16" s="1">
        <v>49.155662129216999</v>
      </c>
      <c r="M16" s="1">
        <v>0</v>
      </c>
      <c r="N16" s="1">
        <v>5</v>
      </c>
      <c r="O16" s="1">
        <v>3.4</v>
      </c>
      <c r="P16" s="1">
        <v>48.603717868079997</v>
      </c>
      <c r="Q16" s="1">
        <v>1</v>
      </c>
      <c r="R16" s="1">
        <v>4</v>
      </c>
      <c r="S16" s="1">
        <v>3.25</v>
      </c>
      <c r="T16" t="s">
        <v>35</v>
      </c>
      <c r="U16" s="1">
        <v>1</v>
      </c>
      <c r="V16" s="1">
        <v>54.155662129216999</v>
      </c>
      <c r="W16" s="1">
        <v>270.778310646085</v>
      </c>
      <c r="X16" s="1">
        <v>4</v>
      </c>
      <c r="Y16" s="1">
        <v>0</v>
      </c>
      <c r="Z16" s="1">
        <v>53.603717868079997</v>
      </c>
      <c r="AA16" s="1">
        <v>214.41487147231999</v>
      </c>
      <c r="AB16" s="1">
        <v>0</v>
      </c>
      <c r="AC16" s="1">
        <v>0</v>
      </c>
      <c r="AD16" t="s">
        <v>54</v>
      </c>
    </row>
    <row r="17" spans="1:30" x14ac:dyDescent="0.2">
      <c r="B17" t="s">
        <v>48</v>
      </c>
      <c r="C17">
        <f t="shared" si="0"/>
        <v>1</v>
      </c>
      <c r="D17" t="s">
        <v>32</v>
      </c>
      <c r="E17" s="1">
        <v>8</v>
      </c>
      <c r="F17" s="1">
        <v>60</v>
      </c>
      <c r="H17" s="1">
        <v>507</v>
      </c>
      <c r="I17" t="s">
        <v>49</v>
      </c>
      <c r="J17" s="1">
        <v>590</v>
      </c>
      <c r="K17" t="s">
        <v>50</v>
      </c>
      <c r="L17" s="1">
        <v>31.860796337918998</v>
      </c>
      <c r="M17" s="1">
        <v>0</v>
      </c>
      <c r="N17" s="1">
        <v>4</v>
      </c>
      <c r="O17" s="1">
        <v>3</v>
      </c>
      <c r="P17" s="1">
        <v>0</v>
      </c>
      <c r="Q17" s="1">
        <v>1</v>
      </c>
      <c r="R17" s="1">
        <v>1</v>
      </c>
      <c r="S17" s="1">
        <v>2</v>
      </c>
      <c r="T17" t="s">
        <v>35</v>
      </c>
      <c r="U17" s="1">
        <v>1</v>
      </c>
      <c r="V17" s="1">
        <v>36.860796337918998</v>
      </c>
      <c r="W17" s="1">
        <v>147.44318535167599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t="s">
        <v>54</v>
      </c>
    </row>
    <row r="18" spans="1:30" x14ac:dyDescent="0.2">
      <c r="B18" t="s">
        <v>48</v>
      </c>
      <c r="C18">
        <f t="shared" si="0"/>
        <v>1</v>
      </c>
      <c r="D18" t="s">
        <v>32</v>
      </c>
      <c r="E18" s="1">
        <v>8</v>
      </c>
      <c r="F18" s="1">
        <v>90</v>
      </c>
      <c r="H18" s="1">
        <v>496.13274595042202</v>
      </c>
      <c r="I18" t="s">
        <v>55</v>
      </c>
      <c r="J18" s="1">
        <v>496.13274595042202</v>
      </c>
      <c r="K18" t="s">
        <v>55</v>
      </c>
      <c r="L18" s="1">
        <v>52.512686644904001</v>
      </c>
      <c r="M18" s="1">
        <v>3</v>
      </c>
      <c r="N18" s="1">
        <v>6</v>
      </c>
      <c r="O18" s="1">
        <v>5.5</v>
      </c>
      <c r="P18" s="1">
        <v>52.512686644904001</v>
      </c>
      <c r="Q18" s="1">
        <v>3</v>
      </c>
      <c r="R18" s="1">
        <v>6</v>
      </c>
      <c r="S18" s="1">
        <v>5.5</v>
      </c>
      <c r="T18" t="s">
        <v>35</v>
      </c>
      <c r="U18" s="1">
        <v>1</v>
      </c>
      <c r="V18" s="1">
        <v>58.346019978237003</v>
      </c>
      <c r="W18" s="1">
        <v>350.07611986942197</v>
      </c>
      <c r="X18" s="1">
        <v>11.122485644131</v>
      </c>
      <c r="Y18" s="1">
        <v>0</v>
      </c>
      <c r="Z18" s="1">
        <v>58.346019978237003</v>
      </c>
      <c r="AA18" s="1">
        <v>350.07611986942197</v>
      </c>
      <c r="AB18" s="1">
        <v>11.122485644131</v>
      </c>
      <c r="AC18" s="1">
        <v>0</v>
      </c>
      <c r="AD18" t="s">
        <v>54</v>
      </c>
    </row>
    <row r="19" spans="1:30" x14ac:dyDescent="0.2">
      <c r="A19" s="1">
        <v>18</v>
      </c>
      <c r="B19" t="s">
        <v>48</v>
      </c>
      <c r="C19">
        <f t="shared" si="0"/>
        <v>1</v>
      </c>
      <c r="D19" t="s">
        <v>32</v>
      </c>
      <c r="E19" s="1">
        <v>8</v>
      </c>
      <c r="F19" s="1">
        <v>120</v>
      </c>
      <c r="G19" s="1">
        <v>1</v>
      </c>
      <c r="H19" s="1">
        <v>487.165525060596</v>
      </c>
      <c r="I19" t="s">
        <v>56</v>
      </c>
      <c r="J19" s="1">
        <v>487.165525060596</v>
      </c>
      <c r="K19" t="s">
        <v>56</v>
      </c>
      <c r="L19" s="1">
        <v>52.138207675994998</v>
      </c>
      <c r="M19" s="1">
        <v>3</v>
      </c>
      <c r="N19" s="1">
        <v>9</v>
      </c>
      <c r="O19" s="1">
        <v>4.2222222222220003</v>
      </c>
      <c r="P19" s="1">
        <v>52.138207675994998</v>
      </c>
      <c r="Q19" s="1">
        <v>3</v>
      </c>
      <c r="R19" s="1">
        <v>9</v>
      </c>
      <c r="S19" s="1">
        <v>4.2222222222220003</v>
      </c>
      <c r="T19" t="s">
        <v>35</v>
      </c>
      <c r="U19" s="1">
        <v>1</v>
      </c>
      <c r="V19" s="1">
        <v>57.763207675994998</v>
      </c>
      <c r="W19" s="1">
        <v>462.10566140795999</v>
      </c>
      <c r="X19" s="1">
        <v>11.441980350867</v>
      </c>
      <c r="Y19" s="1">
        <v>0</v>
      </c>
      <c r="Z19" s="1">
        <v>57.763207675994998</v>
      </c>
      <c r="AA19" s="1">
        <v>462.10566140795999</v>
      </c>
      <c r="AB19" s="1">
        <v>11.441980350867</v>
      </c>
      <c r="AC19" s="1">
        <v>0</v>
      </c>
      <c r="AD19" t="s">
        <v>36</v>
      </c>
    </row>
    <row r="20" spans="1:30" x14ac:dyDescent="0.2">
      <c r="B20" t="s">
        <v>57</v>
      </c>
      <c r="C20">
        <f t="shared" si="0"/>
        <v>2.5</v>
      </c>
      <c r="D20" t="s">
        <v>32</v>
      </c>
      <c r="E20" s="1">
        <v>4</v>
      </c>
      <c r="F20" s="1">
        <v>60</v>
      </c>
      <c r="H20" s="1">
        <v>866.209372712299</v>
      </c>
      <c r="I20" t="s">
        <v>58</v>
      </c>
      <c r="J20" s="1">
        <v>866.209372712299</v>
      </c>
      <c r="K20" t="s">
        <v>59</v>
      </c>
      <c r="L20" s="1">
        <v>32.831840139908998</v>
      </c>
      <c r="M20" s="1">
        <v>0</v>
      </c>
      <c r="N20" s="1">
        <v>8</v>
      </c>
      <c r="O20" s="1">
        <v>3</v>
      </c>
      <c r="P20" s="1">
        <v>37.600956196148999</v>
      </c>
      <c r="Q20" s="1">
        <v>1</v>
      </c>
      <c r="R20" s="1">
        <v>7</v>
      </c>
      <c r="S20" s="1">
        <v>3.4285714285709998</v>
      </c>
      <c r="T20" t="s">
        <v>35</v>
      </c>
      <c r="U20" s="1">
        <v>2.5</v>
      </c>
      <c r="V20" s="1">
        <v>37.831840139908998</v>
      </c>
      <c r="W20" s="1">
        <v>302.65472111927198</v>
      </c>
      <c r="X20" s="1">
        <v>7.1650178735720003</v>
      </c>
      <c r="Y20" s="1">
        <v>0</v>
      </c>
      <c r="Z20" s="1">
        <v>43.315241910433997</v>
      </c>
      <c r="AA20" s="1">
        <v>303.20669337303798</v>
      </c>
      <c r="AB20" s="1">
        <v>7.1650178735720003</v>
      </c>
      <c r="AC20" s="1">
        <v>2.6084067561970001</v>
      </c>
      <c r="AD20" t="s">
        <v>54</v>
      </c>
    </row>
    <row r="21" spans="1:30" x14ac:dyDescent="0.2">
      <c r="A21" s="1">
        <v>20</v>
      </c>
      <c r="B21" t="s">
        <v>57</v>
      </c>
      <c r="C21">
        <f t="shared" si="0"/>
        <v>2.5</v>
      </c>
      <c r="D21" t="s">
        <v>32</v>
      </c>
      <c r="E21" s="1">
        <v>4</v>
      </c>
      <c r="F21" s="1">
        <v>90</v>
      </c>
      <c r="G21" s="1">
        <v>1</v>
      </c>
      <c r="H21" s="1">
        <v>839.07886552931996</v>
      </c>
      <c r="I21" t="s">
        <v>60</v>
      </c>
      <c r="J21" s="1">
        <v>839.07886552931996</v>
      </c>
      <c r="K21" t="s">
        <v>60</v>
      </c>
      <c r="L21" s="1">
        <v>61.918277576256003</v>
      </c>
      <c r="M21" s="1">
        <v>1</v>
      </c>
      <c r="N21" s="1">
        <v>9</v>
      </c>
      <c r="O21" s="1">
        <v>3</v>
      </c>
      <c r="P21" s="1">
        <v>61.918277576256003</v>
      </c>
      <c r="Q21" s="1">
        <v>1</v>
      </c>
      <c r="R21" s="1">
        <v>9</v>
      </c>
      <c r="S21" s="1">
        <v>3</v>
      </c>
      <c r="T21" t="s">
        <v>35</v>
      </c>
      <c r="U21" s="1">
        <v>2.5</v>
      </c>
      <c r="V21" s="1">
        <v>66.918277576256003</v>
      </c>
      <c r="W21" s="1">
        <v>602.26449818630397</v>
      </c>
      <c r="X21" s="1">
        <v>20.035051346364</v>
      </c>
      <c r="Y21" s="1">
        <v>0</v>
      </c>
      <c r="Z21" s="1">
        <v>66.918277576256003</v>
      </c>
      <c r="AA21" s="1">
        <v>602.26449818630397</v>
      </c>
      <c r="AB21" s="1">
        <v>20.035051346364</v>
      </c>
      <c r="AC21" s="1">
        <v>0</v>
      </c>
      <c r="AD21" t="s">
        <v>36</v>
      </c>
    </row>
    <row r="22" spans="1:30" x14ac:dyDescent="0.2">
      <c r="A22" s="1">
        <v>20</v>
      </c>
      <c r="B22" t="s">
        <v>57</v>
      </c>
      <c r="C22">
        <f t="shared" si="0"/>
        <v>2.5</v>
      </c>
      <c r="D22" t="s">
        <v>32</v>
      </c>
      <c r="E22" s="1">
        <v>4</v>
      </c>
      <c r="F22" s="1">
        <v>120</v>
      </c>
      <c r="G22" s="1">
        <v>1</v>
      </c>
      <c r="H22" s="1">
        <v>839.07886552931996</v>
      </c>
      <c r="I22" t="s">
        <v>60</v>
      </c>
      <c r="J22" s="1">
        <v>839.07886552931996</v>
      </c>
      <c r="K22" t="s">
        <v>60</v>
      </c>
      <c r="L22" s="1">
        <v>61.918277576256003</v>
      </c>
      <c r="M22" s="1">
        <v>1</v>
      </c>
      <c r="N22" s="1">
        <v>9</v>
      </c>
      <c r="O22" s="1">
        <v>3</v>
      </c>
      <c r="P22" s="1">
        <v>61.918277576256003</v>
      </c>
      <c r="Q22" s="1">
        <v>1</v>
      </c>
      <c r="R22" s="1">
        <v>9</v>
      </c>
      <c r="S22" s="1">
        <v>3</v>
      </c>
      <c r="T22" t="s">
        <v>35</v>
      </c>
      <c r="U22" s="1">
        <v>2.5</v>
      </c>
      <c r="V22" s="1">
        <v>66.918277576256003</v>
      </c>
      <c r="W22" s="1">
        <v>602.26449818630397</v>
      </c>
      <c r="X22" s="1">
        <v>20.035051346364</v>
      </c>
      <c r="Y22" s="1">
        <v>0</v>
      </c>
      <c r="Z22" s="1">
        <v>66.918277576256003</v>
      </c>
      <c r="AA22" s="1">
        <v>602.26449818630397</v>
      </c>
      <c r="AB22" s="1">
        <v>20.035051346364</v>
      </c>
      <c r="AC22" s="1">
        <v>0</v>
      </c>
      <c r="AD22" t="s">
        <v>36</v>
      </c>
    </row>
    <row r="23" spans="1:30" x14ac:dyDescent="0.2">
      <c r="B23" t="s">
        <v>57</v>
      </c>
      <c r="C23">
        <f t="shared" si="0"/>
        <v>2.5</v>
      </c>
      <c r="D23" t="s">
        <v>32</v>
      </c>
      <c r="E23" s="1">
        <v>8</v>
      </c>
      <c r="F23" s="1">
        <v>60</v>
      </c>
      <c r="H23" s="1">
        <v>860</v>
      </c>
      <c r="I23" t="s">
        <v>61</v>
      </c>
      <c r="L23" s="1">
        <v>31.622776601683999</v>
      </c>
      <c r="M23" s="1">
        <v>0</v>
      </c>
      <c r="N23" s="1">
        <v>1</v>
      </c>
      <c r="O23" s="1">
        <v>7</v>
      </c>
      <c r="T23" t="s">
        <v>35</v>
      </c>
      <c r="U23" s="1">
        <v>2.5</v>
      </c>
      <c r="V23" s="1">
        <v>36.622776601684002</v>
      </c>
      <c r="W23" s="1">
        <v>36.622776601684002</v>
      </c>
      <c r="X23" s="1">
        <v>7.8113883008420002</v>
      </c>
      <c r="Y23" s="1">
        <v>0</v>
      </c>
      <c r="AD23" t="s">
        <v>54</v>
      </c>
    </row>
    <row r="24" spans="1:30" x14ac:dyDescent="0.2">
      <c r="B24" t="s">
        <v>57</v>
      </c>
      <c r="C24">
        <f t="shared" si="0"/>
        <v>2.5</v>
      </c>
      <c r="D24" t="s">
        <v>32</v>
      </c>
      <c r="E24" s="1">
        <v>8</v>
      </c>
      <c r="F24" s="1">
        <v>90</v>
      </c>
      <c r="H24" s="1">
        <v>829.61552812808804</v>
      </c>
      <c r="I24" t="s">
        <v>62</v>
      </c>
      <c r="J24" s="1">
        <v>829.61552812808804</v>
      </c>
      <c r="K24" t="s">
        <v>62</v>
      </c>
      <c r="L24" s="1">
        <v>55.119562616829</v>
      </c>
      <c r="M24" s="1">
        <v>3</v>
      </c>
      <c r="N24" s="1">
        <v>5</v>
      </c>
      <c r="O24" s="1">
        <v>5.2</v>
      </c>
      <c r="P24" s="1">
        <v>55.119562616829</v>
      </c>
      <c r="Q24" s="1">
        <v>3</v>
      </c>
      <c r="R24" s="1">
        <v>5</v>
      </c>
      <c r="S24" s="1">
        <v>5.2</v>
      </c>
      <c r="T24" t="s">
        <v>35</v>
      </c>
      <c r="U24" s="1">
        <v>2.5</v>
      </c>
      <c r="V24" s="1">
        <v>61.119562616829</v>
      </c>
      <c r="W24" s="1">
        <v>305.597813084145</v>
      </c>
      <c r="X24" s="1">
        <v>5.5698394383450003</v>
      </c>
      <c r="Y24" s="1">
        <v>1.531330062316</v>
      </c>
      <c r="Z24" s="1">
        <v>61.119562616829</v>
      </c>
      <c r="AA24" s="1">
        <v>305.597813084145</v>
      </c>
      <c r="AB24" s="1">
        <v>5.5698394383450003</v>
      </c>
      <c r="AC24" s="1">
        <v>1.531330062316</v>
      </c>
      <c r="AD24" t="s">
        <v>54</v>
      </c>
    </row>
    <row r="25" spans="1:30" x14ac:dyDescent="0.2">
      <c r="B25" t="s">
        <v>57</v>
      </c>
      <c r="C25">
        <f t="shared" si="0"/>
        <v>2.5</v>
      </c>
      <c r="D25" t="s">
        <v>32</v>
      </c>
      <c r="E25" s="1">
        <v>8</v>
      </c>
      <c r="F25" s="1">
        <v>120</v>
      </c>
      <c r="H25" s="1">
        <v>829.61552812808804</v>
      </c>
      <c r="I25" t="s">
        <v>62</v>
      </c>
      <c r="J25" s="1">
        <v>829.61552812808804</v>
      </c>
      <c r="K25" t="s">
        <v>62</v>
      </c>
      <c r="L25" s="1">
        <v>55.119562616829</v>
      </c>
      <c r="M25" s="1">
        <v>3</v>
      </c>
      <c r="N25" s="1">
        <v>5</v>
      </c>
      <c r="O25" s="1">
        <v>5.2</v>
      </c>
      <c r="P25" s="1">
        <v>55.119562616829</v>
      </c>
      <c r="Q25" s="1">
        <v>3</v>
      </c>
      <c r="R25" s="1">
        <v>5</v>
      </c>
      <c r="S25" s="1">
        <v>5.2</v>
      </c>
      <c r="T25" t="s">
        <v>35</v>
      </c>
      <c r="U25" s="1">
        <v>2.5</v>
      </c>
      <c r="V25" s="1">
        <v>61.119562616829</v>
      </c>
      <c r="W25" s="1">
        <v>305.597813084145</v>
      </c>
      <c r="X25" s="1">
        <v>5.5698394383450003</v>
      </c>
      <c r="Y25" s="1">
        <v>1.531330062316</v>
      </c>
      <c r="Z25" s="1">
        <v>61.119562616829</v>
      </c>
      <c r="AA25" s="1">
        <v>305.597813084145</v>
      </c>
      <c r="AB25" s="1">
        <v>5.5698394383450003</v>
      </c>
      <c r="AC25" s="1">
        <v>1.531330062316</v>
      </c>
      <c r="AD25" t="s">
        <v>54</v>
      </c>
    </row>
    <row r="26" spans="1:30" x14ac:dyDescent="0.2">
      <c r="B26" t="s">
        <v>63</v>
      </c>
      <c r="C26">
        <f t="shared" si="0"/>
        <v>2</v>
      </c>
      <c r="D26" t="s">
        <v>32</v>
      </c>
      <c r="E26" s="1">
        <v>4</v>
      </c>
      <c r="F26" s="1">
        <v>60</v>
      </c>
      <c r="H26" s="1">
        <v>745.81138830084205</v>
      </c>
      <c r="I26" t="s">
        <v>64</v>
      </c>
      <c r="J26" s="1">
        <v>808</v>
      </c>
      <c r="K26" t="s">
        <v>65</v>
      </c>
      <c r="L26" s="1">
        <v>34.043822630737999</v>
      </c>
      <c r="M26" s="1">
        <v>0</v>
      </c>
      <c r="N26" s="1">
        <v>9</v>
      </c>
      <c r="O26" s="1">
        <v>3</v>
      </c>
      <c r="P26" s="1">
        <v>33.105890714494002</v>
      </c>
      <c r="Q26" s="1">
        <v>1</v>
      </c>
      <c r="R26" s="1">
        <v>1</v>
      </c>
      <c r="S26" s="1">
        <v>3</v>
      </c>
      <c r="T26" t="s">
        <v>35</v>
      </c>
      <c r="U26" s="1">
        <v>2</v>
      </c>
      <c r="V26" s="1">
        <v>39.043822630737999</v>
      </c>
      <c r="W26" s="1">
        <v>273.30675841516597</v>
      </c>
      <c r="X26" s="1">
        <v>6.9091905225839998</v>
      </c>
      <c r="Y26" s="1">
        <v>0</v>
      </c>
      <c r="Z26" s="1">
        <v>38.105890714494002</v>
      </c>
      <c r="AA26" s="1">
        <v>38.105890714494002</v>
      </c>
      <c r="AB26" s="1">
        <v>0</v>
      </c>
      <c r="AC26" s="1">
        <v>0</v>
      </c>
      <c r="AD26" t="s">
        <v>54</v>
      </c>
    </row>
    <row r="27" spans="1:30" x14ac:dyDescent="0.2">
      <c r="B27" t="s">
        <v>63</v>
      </c>
      <c r="C27">
        <f t="shared" si="0"/>
        <v>2</v>
      </c>
      <c r="D27" t="s">
        <v>32</v>
      </c>
      <c r="E27" s="1">
        <v>4</v>
      </c>
      <c r="F27" s="1">
        <v>90</v>
      </c>
      <c r="H27" s="1">
        <v>745.81138830084205</v>
      </c>
      <c r="I27" t="s">
        <v>64</v>
      </c>
      <c r="J27" s="1">
        <v>768.13274595042196</v>
      </c>
      <c r="K27" t="s">
        <v>66</v>
      </c>
      <c r="L27" s="1">
        <v>34.043822630737999</v>
      </c>
      <c r="M27" s="1">
        <v>0</v>
      </c>
      <c r="N27" s="1">
        <v>9</v>
      </c>
      <c r="O27" s="1">
        <v>3</v>
      </c>
      <c r="P27" s="1">
        <v>47.736123144962001</v>
      </c>
      <c r="Q27" s="1">
        <v>1</v>
      </c>
      <c r="R27" s="1">
        <v>8</v>
      </c>
      <c r="S27" s="1">
        <v>3.25</v>
      </c>
      <c r="T27" t="s">
        <v>35</v>
      </c>
      <c r="U27" s="1">
        <v>2</v>
      </c>
      <c r="V27" s="1">
        <v>39.043822630737999</v>
      </c>
      <c r="W27" s="1">
        <v>273.30675841516597</v>
      </c>
      <c r="X27" s="1">
        <v>6.9091905225839998</v>
      </c>
      <c r="Y27" s="1">
        <v>0</v>
      </c>
      <c r="Z27" s="1">
        <v>52.736123144962001</v>
      </c>
      <c r="AA27" s="1">
        <v>421.88898515969601</v>
      </c>
      <c r="AB27" s="1">
        <v>2.4685342598140001</v>
      </c>
      <c r="AC27" s="1">
        <v>0</v>
      </c>
      <c r="AD27" t="s">
        <v>54</v>
      </c>
    </row>
    <row r="28" spans="1:30" x14ac:dyDescent="0.2">
      <c r="B28" t="s">
        <v>63</v>
      </c>
      <c r="C28">
        <f t="shared" si="0"/>
        <v>2</v>
      </c>
      <c r="D28" t="s">
        <v>32</v>
      </c>
      <c r="E28" s="1">
        <v>4</v>
      </c>
      <c r="F28" s="1">
        <v>120</v>
      </c>
      <c r="H28" s="1">
        <v>745.81138830084205</v>
      </c>
      <c r="I28" t="s">
        <v>64</v>
      </c>
      <c r="J28" s="1">
        <v>768.13274595042196</v>
      </c>
      <c r="K28" t="s">
        <v>67</v>
      </c>
      <c r="L28" s="1">
        <v>34.043822630737999</v>
      </c>
      <c r="M28" s="1">
        <v>0</v>
      </c>
      <c r="N28" s="1">
        <v>9</v>
      </c>
      <c r="O28" s="1">
        <v>3</v>
      </c>
      <c r="P28" s="1">
        <v>53.379787826140998</v>
      </c>
      <c r="Q28" s="1">
        <v>2</v>
      </c>
      <c r="R28" s="1">
        <v>8</v>
      </c>
      <c r="S28" s="1">
        <v>3.25</v>
      </c>
      <c r="T28" t="s">
        <v>35</v>
      </c>
      <c r="U28" s="1">
        <v>2</v>
      </c>
      <c r="V28" s="1">
        <v>39.043822630737999</v>
      </c>
      <c r="W28" s="1">
        <v>273.30675841516597</v>
      </c>
      <c r="X28" s="1">
        <v>6.9091905225839998</v>
      </c>
      <c r="Y28" s="1">
        <v>0</v>
      </c>
      <c r="Z28" s="1">
        <v>59.004787826140998</v>
      </c>
      <c r="AA28" s="1">
        <v>472.03830260912798</v>
      </c>
      <c r="AB28" s="1">
        <v>3.4002001451149999</v>
      </c>
      <c r="AC28" s="1">
        <v>0</v>
      </c>
      <c r="AD28" t="s">
        <v>54</v>
      </c>
    </row>
    <row r="29" spans="1:30" x14ac:dyDescent="0.2">
      <c r="A29" s="1">
        <v>28</v>
      </c>
      <c r="B29" t="s">
        <v>63</v>
      </c>
      <c r="C29">
        <f t="shared" si="0"/>
        <v>2</v>
      </c>
      <c r="D29" t="s">
        <v>32</v>
      </c>
      <c r="E29" s="1">
        <v>8</v>
      </c>
      <c r="F29" s="1">
        <v>60</v>
      </c>
      <c r="G29" s="1">
        <v>1</v>
      </c>
      <c r="H29" s="1">
        <v>745.81138830084205</v>
      </c>
      <c r="I29" t="s">
        <v>64</v>
      </c>
      <c r="L29" s="1">
        <v>34.043822630737999</v>
      </c>
      <c r="M29" s="1">
        <v>0</v>
      </c>
      <c r="N29" s="1">
        <v>9</v>
      </c>
      <c r="O29" s="1">
        <v>3</v>
      </c>
      <c r="T29" t="s">
        <v>35</v>
      </c>
      <c r="U29" s="1">
        <v>2</v>
      </c>
      <c r="V29" s="1">
        <v>39.043822630737999</v>
      </c>
      <c r="W29" s="1">
        <v>273.30675841516597</v>
      </c>
      <c r="X29" s="1">
        <v>6.9091905225839998</v>
      </c>
      <c r="Y29" s="1">
        <v>0</v>
      </c>
      <c r="AD29" t="s">
        <v>36</v>
      </c>
    </row>
    <row r="30" spans="1:30" x14ac:dyDescent="0.2">
      <c r="A30" s="1">
        <v>29</v>
      </c>
      <c r="B30" t="s">
        <v>63</v>
      </c>
      <c r="C30">
        <f t="shared" si="0"/>
        <v>2</v>
      </c>
      <c r="D30" t="s">
        <v>32</v>
      </c>
      <c r="E30" s="1">
        <v>8</v>
      </c>
      <c r="F30" s="1">
        <v>90</v>
      </c>
      <c r="G30" s="1">
        <v>1</v>
      </c>
      <c r="H30" s="1">
        <v>735.38826948140297</v>
      </c>
      <c r="I30" t="s">
        <v>68</v>
      </c>
      <c r="J30" s="1">
        <v>735.38826948140297</v>
      </c>
      <c r="K30" t="s">
        <v>68</v>
      </c>
      <c r="L30" s="1">
        <v>46.586256517042997</v>
      </c>
      <c r="M30" s="1">
        <v>2</v>
      </c>
      <c r="N30" s="1">
        <v>6</v>
      </c>
      <c r="O30" s="1">
        <v>5</v>
      </c>
      <c r="P30" s="1">
        <v>46.586256517042997</v>
      </c>
      <c r="Q30" s="1">
        <v>2</v>
      </c>
      <c r="R30" s="1">
        <v>6</v>
      </c>
      <c r="S30" s="1">
        <v>5</v>
      </c>
      <c r="T30" t="s">
        <v>35</v>
      </c>
      <c r="U30" s="1">
        <v>2</v>
      </c>
      <c r="V30" s="1">
        <v>52.419589850377001</v>
      </c>
      <c r="W30" s="1">
        <v>314.51753910226199</v>
      </c>
      <c r="X30" s="1">
        <v>22.226615501226998</v>
      </c>
      <c r="Y30" s="1">
        <v>0</v>
      </c>
      <c r="Z30" s="1">
        <v>52.419589850377001</v>
      </c>
      <c r="AA30" s="1">
        <v>314.51753910226199</v>
      </c>
      <c r="AB30" s="1">
        <v>22.226615501226998</v>
      </c>
      <c r="AC30" s="1">
        <v>0</v>
      </c>
      <c r="AD30" t="s">
        <v>36</v>
      </c>
    </row>
    <row r="31" spans="1:30" x14ac:dyDescent="0.2">
      <c r="A31" s="1">
        <v>30</v>
      </c>
      <c r="B31" t="s">
        <v>63</v>
      </c>
      <c r="C31">
        <f t="shared" si="0"/>
        <v>2</v>
      </c>
      <c r="D31" t="s">
        <v>32</v>
      </c>
      <c r="E31" s="1">
        <v>8</v>
      </c>
      <c r="F31" s="1">
        <v>120</v>
      </c>
      <c r="G31" s="1">
        <v>1</v>
      </c>
      <c r="H31" s="1">
        <v>735.38826948140297</v>
      </c>
      <c r="I31" t="s">
        <v>68</v>
      </c>
      <c r="J31" s="1">
        <v>741.622776601684</v>
      </c>
      <c r="K31" t="s">
        <v>69</v>
      </c>
      <c r="L31" s="1">
        <v>46.586256517042997</v>
      </c>
      <c r="M31" s="1">
        <v>2</v>
      </c>
      <c r="N31" s="1">
        <v>6</v>
      </c>
      <c r="O31" s="1">
        <v>5</v>
      </c>
      <c r="P31" s="1">
        <v>60.586690055638002</v>
      </c>
      <c r="Q31" s="1">
        <v>1</v>
      </c>
      <c r="R31" s="1">
        <v>10</v>
      </c>
      <c r="S31" s="1">
        <v>3.2</v>
      </c>
      <c r="T31" t="s">
        <v>35</v>
      </c>
      <c r="U31" s="1">
        <v>2</v>
      </c>
      <c r="V31" s="1">
        <v>52.419589850377001</v>
      </c>
      <c r="W31" s="1">
        <v>314.51753910226199</v>
      </c>
      <c r="X31" s="1">
        <v>22.226615501226998</v>
      </c>
      <c r="Y31" s="1">
        <v>0</v>
      </c>
      <c r="Z31" s="1">
        <v>66.300975769923994</v>
      </c>
      <c r="AA31" s="1">
        <v>464.10683038946797</v>
      </c>
      <c r="AB31" s="1">
        <v>11.279788091222001</v>
      </c>
      <c r="AC31" s="1">
        <v>3.4585025685669999</v>
      </c>
      <c r="AD31" t="s">
        <v>36</v>
      </c>
    </row>
    <row r="32" spans="1:30" x14ac:dyDescent="0.2">
      <c r="A32" s="1">
        <v>31</v>
      </c>
      <c r="B32" t="s">
        <v>70</v>
      </c>
      <c r="C32">
        <f t="shared" si="0"/>
        <v>3</v>
      </c>
      <c r="D32" t="s">
        <v>32</v>
      </c>
      <c r="E32" s="1">
        <v>4</v>
      </c>
      <c r="F32" s="1">
        <v>60</v>
      </c>
      <c r="G32" s="1">
        <v>1</v>
      </c>
      <c r="H32" s="1">
        <v>995</v>
      </c>
      <c r="I32" t="s">
        <v>71</v>
      </c>
      <c r="L32" s="1">
        <v>0</v>
      </c>
      <c r="M32" s="1">
        <v>0</v>
      </c>
      <c r="N32" s="1">
        <v>0</v>
      </c>
      <c r="O32" s="1">
        <v>0</v>
      </c>
      <c r="T32" t="s">
        <v>35</v>
      </c>
      <c r="U32" s="1">
        <v>3</v>
      </c>
      <c r="V32" s="1">
        <v>0</v>
      </c>
      <c r="W32" s="1">
        <v>0</v>
      </c>
      <c r="X32" s="1">
        <v>0</v>
      </c>
      <c r="Y32" s="1">
        <v>0</v>
      </c>
      <c r="AD32" t="s">
        <v>36</v>
      </c>
    </row>
    <row r="33" spans="1:30" x14ac:dyDescent="0.2">
      <c r="A33" s="1">
        <v>32</v>
      </c>
      <c r="B33" t="s">
        <v>70</v>
      </c>
      <c r="C33">
        <f t="shared" si="0"/>
        <v>3</v>
      </c>
      <c r="D33" t="s">
        <v>32</v>
      </c>
      <c r="E33" s="1">
        <v>4</v>
      </c>
      <c r="F33" s="1">
        <v>90</v>
      </c>
      <c r="G33" s="1">
        <v>1</v>
      </c>
      <c r="H33" s="1">
        <v>993.52610922847998</v>
      </c>
      <c r="I33" t="s">
        <v>72</v>
      </c>
      <c r="J33" s="1">
        <v>993.52610922847998</v>
      </c>
      <c r="K33" t="s">
        <v>72</v>
      </c>
      <c r="L33" s="1">
        <v>61.788672854822998</v>
      </c>
      <c r="M33" s="1">
        <v>1</v>
      </c>
      <c r="N33" s="1">
        <v>8</v>
      </c>
      <c r="O33" s="1">
        <v>2.625</v>
      </c>
      <c r="P33" s="1">
        <v>61.788672854822998</v>
      </c>
      <c r="Q33" s="1">
        <v>1</v>
      </c>
      <c r="R33" s="1">
        <v>8</v>
      </c>
      <c r="S33" s="1">
        <v>2.625</v>
      </c>
      <c r="T33" t="s">
        <v>35</v>
      </c>
      <c r="U33" s="1">
        <v>3</v>
      </c>
      <c r="V33" s="1">
        <v>67.413672854823005</v>
      </c>
      <c r="W33" s="1">
        <v>539.30938283858404</v>
      </c>
      <c r="X33" s="1">
        <v>26.876990080513</v>
      </c>
      <c r="Y33" s="1">
        <v>0</v>
      </c>
      <c r="Z33" s="1">
        <v>67.413672854823005</v>
      </c>
      <c r="AA33" s="1">
        <v>539.30938283858404</v>
      </c>
      <c r="AB33" s="1">
        <v>26.876990080513</v>
      </c>
      <c r="AC33" s="1">
        <v>0</v>
      </c>
      <c r="AD33" t="s">
        <v>36</v>
      </c>
    </row>
    <row r="34" spans="1:30" x14ac:dyDescent="0.2">
      <c r="A34" s="1">
        <v>33</v>
      </c>
      <c r="B34" t="s">
        <v>70</v>
      </c>
      <c r="C34">
        <f t="shared" si="0"/>
        <v>3</v>
      </c>
      <c r="D34" t="s">
        <v>32</v>
      </c>
      <c r="E34" s="1">
        <v>4</v>
      </c>
      <c r="F34" s="1">
        <v>120</v>
      </c>
      <c r="G34" s="1">
        <v>1</v>
      </c>
      <c r="H34" s="1">
        <v>993.52610922847998</v>
      </c>
      <c r="I34" t="s">
        <v>72</v>
      </c>
      <c r="J34" s="1">
        <v>993.67809023762504</v>
      </c>
      <c r="K34" t="s">
        <v>73</v>
      </c>
      <c r="L34" s="1">
        <v>61.788672854822998</v>
      </c>
      <c r="M34" s="1">
        <v>1</v>
      </c>
      <c r="N34" s="1">
        <v>8</v>
      </c>
      <c r="O34" s="1">
        <v>2.625</v>
      </c>
      <c r="P34" s="1">
        <v>55.300657570894998</v>
      </c>
      <c r="Q34" s="1">
        <v>3</v>
      </c>
      <c r="R34" s="1">
        <v>7</v>
      </c>
      <c r="S34" s="1">
        <v>3.1428571428569998</v>
      </c>
      <c r="T34" t="s">
        <v>35</v>
      </c>
      <c r="U34" s="1">
        <v>3</v>
      </c>
      <c r="V34" s="1">
        <v>67.413672854823005</v>
      </c>
      <c r="W34" s="1">
        <v>539.30938283858404</v>
      </c>
      <c r="X34" s="1">
        <v>26.876990080513</v>
      </c>
      <c r="Y34" s="1">
        <v>0</v>
      </c>
      <c r="Z34" s="1">
        <v>60.300657570894998</v>
      </c>
      <c r="AA34" s="1">
        <v>422.10460299626499</v>
      </c>
      <c r="AB34" s="1">
        <v>30.457742780872</v>
      </c>
      <c r="AC34" s="1">
        <v>0</v>
      </c>
      <c r="AD34" t="s">
        <v>36</v>
      </c>
    </row>
    <row r="35" spans="1:30" x14ac:dyDescent="0.2">
      <c r="B35" t="s">
        <v>70</v>
      </c>
      <c r="C35">
        <f t="shared" si="0"/>
        <v>3</v>
      </c>
      <c r="D35" t="s">
        <v>32</v>
      </c>
      <c r="E35" s="1">
        <v>8</v>
      </c>
      <c r="F35" s="1">
        <v>60</v>
      </c>
      <c r="H35" s="1">
        <v>983</v>
      </c>
      <c r="I35" t="s">
        <v>74</v>
      </c>
      <c r="J35" s="1">
        <v>1035</v>
      </c>
      <c r="K35" t="s">
        <v>75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1</v>
      </c>
      <c r="S35" s="1">
        <v>2</v>
      </c>
      <c r="T35" t="s">
        <v>35</v>
      </c>
      <c r="U35" s="1">
        <v>3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t="s">
        <v>54</v>
      </c>
    </row>
    <row r="36" spans="1:30" x14ac:dyDescent="0.2">
      <c r="A36" s="1">
        <v>35</v>
      </c>
      <c r="B36" t="s">
        <v>70</v>
      </c>
      <c r="C36">
        <f t="shared" si="0"/>
        <v>3</v>
      </c>
      <c r="D36" t="s">
        <v>32</v>
      </c>
      <c r="E36" s="1">
        <v>8</v>
      </c>
      <c r="F36" s="1">
        <v>90</v>
      </c>
      <c r="G36" s="1">
        <v>1</v>
      </c>
      <c r="H36" s="1">
        <v>907.31128874149294</v>
      </c>
      <c r="I36" t="s">
        <v>76</v>
      </c>
      <c r="J36" s="1">
        <v>907.31128874149294</v>
      </c>
      <c r="K36" t="s">
        <v>76</v>
      </c>
      <c r="L36" s="1">
        <v>58.271877481243997</v>
      </c>
      <c r="M36" s="1">
        <v>3</v>
      </c>
      <c r="N36" s="1">
        <v>11</v>
      </c>
      <c r="O36" s="1">
        <v>2.818181818182</v>
      </c>
      <c r="P36" s="1">
        <v>58.271877481243997</v>
      </c>
      <c r="Q36" s="1">
        <v>3</v>
      </c>
      <c r="R36" s="1">
        <v>11</v>
      </c>
      <c r="S36" s="1">
        <v>2.818181818182</v>
      </c>
      <c r="T36" t="s">
        <v>35</v>
      </c>
      <c r="U36" s="1">
        <v>3</v>
      </c>
      <c r="V36" s="1">
        <v>63.271877481243997</v>
      </c>
      <c r="W36" s="1">
        <v>506.17501984995198</v>
      </c>
      <c r="X36" s="1">
        <v>7.8628186279329997</v>
      </c>
      <c r="Y36" s="1">
        <v>0</v>
      </c>
      <c r="Z36" s="1">
        <v>63.271877481243997</v>
      </c>
      <c r="AA36" s="1">
        <v>506.17501984995198</v>
      </c>
      <c r="AB36" s="1">
        <v>7.8628186279329997</v>
      </c>
      <c r="AC36" s="1">
        <v>0</v>
      </c>
      <c r="AD36" t="s">
        <v>36</v>
      </c>
    </row>
    <row r="37" spans="1:30" x14ac:dyDescent="0.2">
      <c r="A37" s="1">
        <v>36</v>
      </c>
      <c r="B37" t="s">
        <v>70</v>
      </c>
      <c r="C37">
        <f t="shared" si="0"/>
        <v>3</v>
      </c>
      <c r="D37" t="s">
        <v>32</v>
      </c>
      <c r="E37" s="1">
        <v>8</v>
      </c>
      <c r="F37" s="1">
        <v>120</v>
      </c>
      <c r="G37" s="1">
        <v>1</v>
      </c>
      <c r="H37" s="1">
        <v>907.31128874149294</v>
      </c>
      <c r="I37" t="s">
        <v>76</v>
      </c>
      <c r="J37" s="1">
        <v>962.80350850198295</v>
      </c>
      <c r="K37" t="s">
        <v>77</v>
      </c>
      <c r="L37" s="1">
        <v>58.271877481243997</v>
      </c>
      <c r="M37" s="1">
        <v>3</v>
      </c>
      <c r="N37" s="1">
        <v>11</v>
      </c>
      <c r="O37" s="1">
        <v>2.818181818182</v>
      </c>
      <c r="P37" s="1">
        <v>74.089675677558006</v>
      </c>
      <c r="Q37" s="1">
        <v>4</v>
      </c>
      <c r="R37" s="1">
        <v>8</v>
      </c>
      <c r="S37" s="1">
        <v>3.75</v>
      </c>
      <c r="T37" t="s">
        <v>35</v>
      </c>
      <c r="U37" s="1">
        <v>3</v>
      </c>
      <c r="V37" s="1">
        <v>63.271877481243997</v>
      </c>
      <c r="W37" s="1">
        <v>506.17501984995198</v>
      </c>
      <c r="X37" s="1">
        <v>7.8628186279329997</v>
      </c>
      <c r="Y37" s="1">
        <v>0</v>
      </c>
      <c r="Z37" s="1">
        <v>80.964675677558006</v>
      </c>
      <c r="AA37" s="1">
        <v>647.71740542046405</v>
      </c>
      <c r="AB37" s="1">
        <v>24.612428396887001</v>
      </c>
      <c r="AC37" s="1">
        <v>0.88635137100799999</v>
      </c>
      <c r="AD37" t="s">
        <v>36</v>
      </c>
    </row>
    <row r="38" spans="1:30" x14ac:dyDescent="0.2">
      <c r="A38" s="1">
        <v>13</v>
      </c>
      <c r="B38" t="s">
        <v>78</v>
      </c>
      <c r="C38">
        <f t="shared" si="0"/>
        <v>0.5</v>
      </c>
      <c r="D38" t="s">
        <v>79</v>
      </c>
      <c r="E38" s="1">
        <v>4</v>
      </c>
      <c r="F38" s="1">
        <v>60</v>
      </c>
      <c r="G38" s="1">
        <v>4</v>
      </c>
      <c r="H38" s="1">
        <v>561</v>
      </c>
      <c r="I38" t="s">
        <v>80</v>
      </c>
      <c r="J38" s="1">
        <v>679</v>
      </c>
      <c r="K38" t="s">
        <v>81</v>
      </c>
      <c r="L38" s="1">
        <v>37.931763797088998</v>
      </c>
      <c r="M38" s="1">
        <v>0</v>
      </c>
      <c r="N38" s="1">
        <v>5</v>
      </c>
      <c r="O38" s="1">
        <v>3.2</v>
      </c>
      <c r="P38" s="1">
        <v>0</v>
      </c>
      <c r="Q38" s="1">
        <v>1</v>
      </c>
      <c r="R38" s="1">
        <v>1</v>
      </c>
      <c r="S38" s="1">
        <v>2</v>
      </c>
      <c r="T38" t="s">
        <v>35</v>
      </c>
      <c r="U38" s="1">
        <v>0.5</v>
      </c>
      <c r="V38" s="1">
        <v>42.931763797088998</v>
      </c>
      <c r="W38" s="1">
        <v>128.795291391267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t="s">
        <v>36</v>
      </c>
    </row>
    <row r="39" spans="1:30" x14ac:dyDescent="0.2">
      <c r="A39" s="1">
        <v>14</v>
      </c>
      <c r="B39" t="s">
        <v>78</v>
      </c>
      <c r="C39">
        <f t="shared" si="0"/>
        <v>0.5</v>
      </c>
      <c r="D39" t="s">
        <v>79</v>
      </c>
      <c r="E39" s="1">
        <v>4</v>
      </c>
      <c r="F39" s="1">
        <v>90</v>
      </c>
      <c r="G39" s="1">
        <v>4</v>
      </c>
      <c r="H39" s="1">
        <v>533.40714668984401</v>
      </c>
      <c r="I39" t="s">
        <v>82</v>
      </c>
      <c r="J39" s="1">
        <v>533.40714668984401</v>
      </c>
      <c r="K39" t="s">
        <v>82</v>
      </c>
      <c r="L39" s="1">
        <v>49.643358525787001</v>
      </c>
      <c r="M39" s="1">
        <v>1</v>
      </c>
      <c r="N39" s="1">
        <v>13</v>
      </c>
      <c r="O39" s="1">
        <v>3.5384615384620002</v>
      </c>
      <c r="P39" s="1">
        <v>49.643358525787001</v>
      </c>
      <c r="Q39" s="1">
        <v>1</v>
      </c>
      <c r="R39" s="1">
        <v>13</v>
      </c>
      <c r="S39" s="1">
        <v>3.5384615384620002</v>
      </c>
      <c r="T39" t="s">
        <v>35</v>
      </c>
      <c r="U39" s="1">
        <v>0.5</v>
      </c>
      <c r="V39" s="1">
        <v>55.027973910401997</v>
      </c>
      <c r="W39" s="1">
        <v>715.36366083522603</v>
      </c>
      <c r="X39" s="1">
        <v>1.816561883418</v>
      </c>
      <c r="Y39" s="1">
        <v>0</v>
      </c>
      <c r="Z39" s="1">
        <v>55.027973910401997</v>
      </c>
      <c r="AA39" s="1">
        <v>715.36366083522603</v>
      </c>
      <c r="AB39" s="1">
        <v>1.816561883418</v>
      </c>
      <c r="AC39" s="1">
        <v>0</v>
      </c>
      <c r="AD39" t="s">
        <v>36</v>
      </c>
    </row>
    <row r="40" spans="1:30" x14ac:dyDescent="0.2">
      <c r="A40" s="1">
        <v>15</v>
      </c>
      <c r="B40" t="s">
        <v>78</v>
      </c>
      <c r="C40">
        <f t="shared" si="0"/>
        <v>0.5</v>
      </c>
      <c r="D40" t="s">
        <v>79</v>
      </c>
      <c r="E40" s="1">
        <v>4</v>
      </c>
      <c r="F40" s="1">
        <v>120</v>
      </c>
      <c r="G40" s="1">
        <v>4</v>
      </c>
      <c r="H40" s="1">
        <v>533.40714668984401</v>
      </c>
      <c r="I40" t="s">
        <v>82</v>
      </c>
      <c r="J40" s="1">
        <v>533.40714668984401</v>
      </c>
      <c r="K40" t="s">
        <v>82</v>
      </c>
      <c r="L40" s="1">
        <v>49.643358525787001</v>
      </c>
      <c r="M40" s="1">
        <v>1</v>
      </c>
      <c r="N40" s="1">
        <v>13</v>
      </c>
      <c r="O40" s="1">
        <v>3.5384615384620002</v>
      </c>
      <c r="P40" s="1">
        <v>49.643358525787001</v>
      </c>
      <c r="Q40" s="1">
        <v>1</v>
      </c>
      <c r="R40" s="1">
        <v>13</v>
      </c>
      <c r="S40" s="1">
        <v>3.5384615384620002</v>
      </c>
      <c r="T40" t="s">
        <v>35</v>
      </c>
      <c r="U40" s="1">
        <v>0.5</v>
      </c>
      <c r="V40" s="1">
        <v>55.027973910401997</v>
      </c>
      <c r="W40" s="1">
        <v>715.36366083522603</v>
      </c>
      <c r="X40" s="1">
        <v>1.816561883418</v>
      </c>
      <c r="Y40" s="1">
        <v>0</v>
      </c>
      <c r="Z40" s="1">
        <v>55.027973910401997</v>
      </c>
      <c r="AA40" s="1">
        <v>715.36366083522603</v>
      </c>
      <c r="AB40" s="1">
        <v>1.816561883418</v>
      </c>
      <c r="AC40" s="1">
        <v>0</v>
      </c>
      <c r="AD40" t="s">
        <v>36</v>
      </c>
    </row>
    <row r="41" spans="1:30" x14ac:dyDescent="0.2">
      <c r="A41" s="1">
        <v>16</v>
      </c>
      <c r="B41" t="s">
        <v>78</v>
      </c>
      <c r="C41">
        <f t="shared" si="0"/>
        <v>0.5</v>
      </c>
      <c r="D41" t="s">
        <v>79</v>
      </c>
      <c r="E41" s="1">
        <v>8</v>
      </c>
      <c r="F41" s="1">
        <v>60</v>
      </c>
      <c r="G41" s="1">
        <v>3</v>
      </c>
      <c r="H41" s="1">
        <v>499.612496949731</v>
      </c>
      <c r="I41" t="s">
        <v>83</v>
      </c>
      <c r="J41" s="1">
        <v>499.612496949731</v>
      </c>
      <c r="K41" t="s">
        <v>83</v>
      </c>
      <c r="L41" s="1">
        <v>40.421328857100001</v>
      </c>
      <c r="M41" s="1">
        <v>1</v>
      </c>
      <c r="N41" s="1">
        <v>7</v>
      </c>
      <c r="O41" s="1">
        <v>6.5714285714290002</v>
      </c>
      <c r="P41" s="1">
        <v>40.421328857100001</v>
      </c>
      <c r="Q41" s="1">
        <v>1</v>
      </c>
      <c r="R41" s="1">
        <v>7</v>
      </c>
      <c r="S41" s="1">
        <v>6.5714285714290002</v>
      </c>
      <c r="T41" t="s">
        <v>35</v>
      </c>
      <c r="U41" s="1">
        <v>0.5</v>
      </c>
      <c r="V41" s="1">
        <v>46.135614571384998</v>
      </c>
      <c r="W41" s="1">
        <v>322.94930199969502</v>
      </c>
      <c r="X41" s="1">
        <v>3.2843000924279999</v>
      </c>
      <c r="Y41" s="1">
        <v>0</v>
      </c>
      <c r="Z41" s="1">
        <v>46.135614571384998</v>
      </c>
      <c r="AA41" s="1">
        <v>322.94930199969502</v>
      </c>
      <c r="AB41" s="1">
        <v>3.2843000924279999</v>
      </c>
      <c r="AC41" s="1">
        <v>0</v>
      </c>
      <c r="AD41" t="s">
        <v>36</v>
      </c>
    </row>
    <row r="42" spans="1:30" x14ac:dyDescent="0.2">
      <c r="A42" s="1">
        <v>17</v>
      </c>
      <c r="B42" t="s">
        <v>78</v>
      </c>
      <c r="C42">
        <f t="shared" si="0"/>
        <v>0.5</v>
      </c>
      <c r="D42" t="s">
        <v>79</v>
      </c>
      <c r="E42" s="1">
        <v>8</v>
      </c>
      <c r="F42" s="1">
        <v>90</v>
      </c>
      <c r="G42" s="1">
        <v>5</v>
      </c>
      <c r="H42" s="1">
        <v>499.612496949731</v>
      </c>
      <c r="I42" t="s">
        <v>83</v>
      </c>
      <c r="J42" s="1">
        <v>533.40714668984401</v>
      </c>
      <c r="K42" t="s">
        <v>82</v>
      </c>
      <c r="L42" s="1">
        <v>40.421328857100001</v>
      </c>
      <c r="M42" s="1">
        <v>1</v>
      </c>
      <c r="N42" s="1">
        <v>7</v>
      </c>
      <c r="O42" s="1">
        <v>6.5714285714290002</v>
      </c>
      <c r="P42" s="1">
        <v>49.643358525787001</v>
      </c>
      <c r="Q42" s="1">
        <v>1</v>
      </c>
      <c r="R42" s="1">
        <v>13</v>
      </c>
      <c r="S42" s="1">
        <v>3.5384615384620002</v>
      </c>
      <c r="T42" t="s">
        <v>35</v>
      </c>
      <c r="U42" s="1">
        <v>0.5</v>
      </c>
      <c r="V42" s="1">
        <v>46.135614571384998</v>
      </c>
      <c r="W42" s="1">
        <v>322.94930199969502</v>
      </c>
      <c r="X42" s="1">
        <v>3.2843000924279999</v>
      </c>
      <c r="Y42" s="1">
        <v>0</v>
      </c>
      <c r="Z42" s="1">
        <v>55.027973910401997</v>
      </c>
      <c r="AA42" s="1">
        <v>715.36366083522603</v>
      </c>
      <c r="AB42" s="1">
        <v>1.816561883418</v>
      </c>
      <c r="AC42" s="1">
        <v>0</v>
      </c>
      <c r="AD42" t="s">
        <v>36</v>
      </c>
    </row>
    <row r="43" spans="1:30" x14ac:dyDescent="0.2">
      <c r="A43" s="1">
        <v>18</v>
      </c>
      <c r="B43" t="s">
        <v>78</v>
      </c>
      <c r="C43">
        <f t="shared" si="0"/>
        <v>0.5</v>
      </c>
      <c r="D43" t="s">
        <v>79</v>
      </c>
      <c r="E43" s="1">
        <v>8</v>
      </c>
      <c r="F43" s="1">
        <v>120</v>
      </c>
      <c r="G43" s="1">
        <v>5</v>
      </c>
      <c r="H43" s="1">
        <v>477.06888370749698</v>
      </c>
      <c r="I43" t="s">
        <v>84</v>
      </c>
      <c r="J43" s="1">
        <v>477.06888370749698</v>
      </c>
      <c r="K43" t="s">
        <v>84</v>
      </c>
      <c r="L43" s="1">
        <v>67.713565250279999</v>
      </c>
      <c r="M43" s="1">
        <v>1</v>
      </c>
      <c r="N43" s="1">
        <v>7</v>
      </c>
      <c r="O43" s="1">
        <v>5.8571428571429998</v>
      </c>
      <c r="P43" s="1">
        <v>67.713565250279999</v>
      </c>
      <c r="Q43" s="1">
        <v>1</v>
      </c>
      <c r="R43" s="1">
        <v>7</v>
      </c>
      <c r="S43" s="1">
        <v>5.8571428571429998</v>
      </c>
      <c r="T43" t="s">
        <v>35</v>
      </c>
      <c r="U43" s="1">
        <v>0.5</v>
      </c>
      <c r="V43" s="1">
        <v>73.427850964564996</v>
      </c>
      <c r="W43" s="1">
        <v>513.99495675195499</v>
      </c>
      <c r="X43" s="1">
        <v>4.5146541375020002</v>
      </c>
      <c r="Y43" s="1">
        <v>1.112575019463</v>
      </c>
      <c r="Z43" s="1">
        <v>73.427850964564996</v>
      </c>
      <c r="AA43" s="1">
        <v>513.99495675195499</v>
      </c>
      <c r="AB43" s="1">
        <v>4.5146541375020002</v>
      </c>
      <c r="AC43" s="1">
        <v>1.112575019463</v>
      </c>
      <c r="AD43" t="s">
        <v>36</v>
      </c>
    </row>
    <row r="44" spans="1:30" x14ac:dyDescent="0.2">
      <c r="A44" s="1">
        <v>19</v>
      </c>
      <c r="B44" t="s">
        <v>85</v>
      </c>
      <c r="C44">
        <f t="shared" si="0"/>
        <v>1.5</v>
      </c>
      <c r="D44" t="s">
        <v>79</v>
      </c>
      <c r="E44" s="1">
        <v>4</v>
      </c>
      <c r="F44" s="1">
        <v>60</v>
      </c>
      <c r="G44" s="1">
        <v>3</v>
      </c>
      <c r="H44" s="1">
        <v>816.61249694973105</v>
      </c>
      <c r="I44" t="s">
        <v>86</v>
      </c>
      <c r="J44" s="1">
        <v>816.61249694973105</v>
      </c>
      <c r="K44" t="s">
        <v>86</v>
      </c>
      <c r="L44" s="1">
        <v>39.982138909465</v>
      </c>
      <c r="M44" s="1">
        <v>2</v>
      </c>
      <c r="N44" s="1">
        <v>14</v>
      </c>
      <c r="O44" s="1">
        <v>3.1428571428569998</v>
      </c>
      <c r="P44" s="1">
        <v>39.982138909465</v>
      </c>
      <c r="Q44" s="1">
        <v>2</v>
      </c>
      <c r="R44" s="1">
        <v>14</v>
      </c>
      <c r="S44" s="1">
        <v>3.1428571428569998</v>
      </c>
      <c r="T44" t="s">
        <v>35</v>
      </c>
      <c r="U44" s="1">
        <v>1.5</v>
      </c>
      <c r="V44" s="1">
        <v>45.366754294080998</v>
      </c>
      <c r="W44" s="1">
        <v>589.76780582305298</v>
      </c>
      <c r="X44" s="1">
        <v>9.9723212106950001</v>
      </c>
      <c r="Y44" s="1">
        <v>0</v>
      </c>
      <c r="Z44" s="1">
        <v>45.366754294080998</v>
      </c>
      <c r="AA44" s="1">
        <v>589.76780582305298</v>
      </c>
      <c r="AB44" s="1">
        <v>9.9723212106950001</v>
      </c>
      <c r="AC44" s="1">
        <v>0</v>
      </c>
      <c r="AD44" t="s">
        <v>36</v>
      </c>
    </row>
    <row r="45" spans="1:30" x14ac:dyDescent="0.2">
      <c r="A45" s="1">
        <v>20</v>
      </c>
      <c r="B45" t="s">
        <v>85</v>
      </c>
      <c r="C45">
        <f t="shared" si="0"/>
        <v>1.5</v>
      </c>
      <c r="D45" t="s">
        <v>79</v>
      </c>
      <c r="E45" s="1">
        <v>4</v>
      </c>
      <c r="F45" s="1">
        <v>90</v>
      </c>
      <c r="G45" s="1">
        <v>5</v>
      </c>
      <c r="H45" s="1">
        <v>746.31128874149294</v>
      </c>
      <c r="I45" t="s">
        <v>87</v>
      </c>
      <c r="J45" s="1">
        <v>746.31128874149294</v>
      </c>
      <c r="K45" t="s">
        <v>87</v>
      </c>
      <c r="L45" s="1">
        <v>58.920819260465002</v>
      </c>
      <c r="M45" s="1">
        <v>2</v>
      </c>
      <c r="N45" s="1">
        <v>12</v>
      </c>
      <c r="O45" s="1">
        <v>3.666666666667</v>
      </c>
      <c r="P45" s="1">
        <v>58.920819260465002</v>
      </c>
      <c r="Q45" s="1">
        <v>2</v>
      </c>
      <c r="R45" s="1">
        <v>12</v>
      </c>
      <c r="S45" s="1">
        <v>3.666666666667</v>
      </c>
      <c r="T45" t="s">
        <v>35</v>
      </c>
      <c r="U45" s="1">
        <v>1.5</v>
      </c>
      <c r="V45" s="1">
        <v>63.920819260465002</v>
      </c>
      <c r="W45" s="1">
        <v>767.04983112558</v>
      </c>
      <c r="X45" s="1">
        <v>16.143756186838001</v>
      </c>
      <c r="Y45" s="1">
        <v>0</v>
      </c>
      <c r="Z45" s="1">
        <v>63.920819260465002</v>
      </c>
      <c r="AA45" s="1">
        <v>767.04983112558</v>
      </c>
      <c r="AB45" s="1">
        <v>16.143756186838001</v>
      </c>
      <c r="AC45" s="1">
        <v>0</v>
      </c>
      <c r="AD45" t="s">
        <v>36</v>
      </c>
    </row>
    <row r="46" spans="1:30" x14ac:dyDescent="0.2">
      <c r="A46" s="1">
        <v>21</v>
      </c>
      <c r="B46" t="s">
        <v>85</v>
      </c>
      <c r="C46">
        <f t="shared" si="0"/>
        <v>1.5</v>
      </c>
      <c r="D46" t="s">
        <v>79</v>
      </c>
      <c r="E46" s="1">
        <v>4</v>
      </c>
      <c r="F46" s="1">
        <v>120</v>
      </c>
      <c r="G46" s="1">
        <v>5</v>
      </c>
      <c r="H46" s="1">
        <v>746.31128874149294</v>
      </c>
      <c r="I46" t="s">
        <v>87</v>
      </c>
      <c r="J46" s="1">
        <v>746.31128874149294</v>
      </c>
      <c r="K46" t="s">
        <v>87</v>
      </c>
      <c r="L46" s="1">
        <v>58.920819260465002</v>
      </c>
      <c r="M46" s="1">
        <v>2</v>
      </c>
      <c r="N46" s="1">
        <v>12</v>
      </c>
      <c r="O46" s="1">
        <v>3.666666666667</v>
      </c>
      <c r="P46" s="1">
        <v>58.920819260465002</v>
      </c>
      <c r="Q46" s="1">
        <v>2</v>
      </c>
      <c r="R46" s="1">
        <v>12</v>
      </c>
      <c r="S46" s="1">
        <v>3.666666666667</v>
      </c>
      <c r="T46" t="s">
        <v>35</v>
      </c>
      <c r="U46" s="1">
        <v>1.5</v>
      </c>
      <c r="V46" s="1">
        <v>63.920819260465002</v>
      </c>
      <c r="W46" s="1">
        <v>767.04983112558</v>
      </c>
      <c r="X46" s="1">
        <v>16.143756186838001</v>
      </c>
      <c r="Y46" s="1">
        <v>0</v>
      </c>
      <c r="Z46" s="1">
        <v>63.920819260465002</v>
      </c>
      <c r="AA46" s="1">
        <v>767.04983112558</v>
      </c>
      <c r="AB46" s="1">
        <v>16.143756186838001</v>
      </c>
      <c r="AC46" s="1">
        <v>0</v>
      </c>
      <c r="AD46" t="s">
        <v>36</v>
      </c>
    </row>
    <row r="47" spans="1:30" x14ac:dyDescent="0.2">
      <c r="A47" s="1">
        <v>22</v>
      </c>
      <c r="B47" t="s">
        <v>85</v>
      </c>
      <c r="C47">
        <f t="shared" si="0"/>
        <v>1.5</v>
      </c>
      <c r="D47" t="s">
        <v>79</v>
      </c>
      <c r="E47" s="1">
        <v>8</v>
      </c>
      <c r="F47" s="1">
        <v>60</v>
      </c>
      <c r="G47" s="1">
        <v>1</v>
      </c>
      <c r="H47" s="1">
        <v>770.32380757938097</v>
      </c>
      <c r="I47" t="s">
        <v>88</v>
      </c>
      <c r="J47" s="1">
        <v>770.32380757938097</v>
      </c>
      <c r="K47" t="s">
        <v>88</v>
      </c>
      <c r="L47" s="1">
        <v>45.746842080755002</v>
      </c>
      <c r="M47" s="1">
        <v>2</v>
      </c>
      <c r="N47" s="1">
        <v>8</v>
      </c>
      <c r="O47" s="1">
        <v>5.25</v>
      </c>
      <c r="P47" s="1">
        <v>45.746842080755002</v>
      </c>
      <c r="Q47" s="1">
        <v>2</v>
      </c>
      <c r="R47" s="1">
        <v>8</v>
      </c>
      <c r="S47" s="1">
        <v>5.25</v>
      </c>
      <c r="T47" t="s">
        <v>35</v>
      </c>
      <c r="U47" s="1">
        <v>1.5</v>
      </c>
      <c r="V47" s="1">
        <v>51.996842080755002</v>
      </c>
      <c r="W47" s="1">
        <v>415.97473664604001</v>
      </c>
      <c r="X47" s="1">
        <v>14.334879197388</v>
      </c>
      <c r="Y47" s="1">
        <v>0</v>
      </c>
      <c r="Z47" s="1">
        <v>51.996842080755002</v>
      </c>
      <c r="AA47" s="1">
        <v>415.97473664604001</v>
      </c>
      <c r="AB47" s="1">
        <v>14.334879197388</v>
      </c>
      <c r="AC47" s="1">
        <v>0</v>
      </c>
      <c r="AD47" t="s">
        <v>36</v>
      </c>
    </row>
    <row r="48" spans="1:30" x14ac:dyDescent="0.2">
      <c r="A48" s="1">
        <v>23</v>
      </c>
      <c r="B48" t="s">
        <v>85</v>
      </c>
      <c r="C48">
        <f t="shared" si="0"/>
        <v>1.5</v>
      </c>
      <c r="D48" t="s">
        <v>79</v>
      </c>
      <c r="E48" s="1">
        <v>8</v>
      </c>
      <c r="F48" s="1">
        <v>90</v>
      </c>
      <c r="G48" s="1">
        <v>1</v>
      </c>
      <c r="H48" s="1">
        <v>741.31128874149294</v>
      </c>
      <c r="I48" t="s">
        <v>89</v>
      </c>
      <c r="J48" s="1">
        <v>741.31128874149294</v>
      </c>
      <c r="K48" t="s">
        <v>89</v>
      </c>
      <c r="L48" s="1">
        <v>61.263001746971</v>
      </c>
      <c r="M48" s="1">
        <v>2</v>
      </c>
      <c r="N48" s="1">
        <v>7</v>
      </c>
      <c r="O48" s="1">
        <v>6.1428571428570002</v>
      </c>
      <c r="P48" s="1">
        <v>61.263001746971</v>
      </c>
      <c r="Q48" s="1">
        <v>2</v>
      </c>
      <c r="R48" s="1">
        <v>7</v>
      </c>
      <c r="S48" s="1">
        <v>6.1428571428570002</v>
      </c>
      <c r="T48" t="s">
        <v>35</v>
      </c>
      <c r="U48" s="1">
        <v>1.5</v>
      </c>
      <c r="V48" s="1">
        <v>66.977287461257006</v>
      </c>
      <c r="W48" s="1">
        <v>468.841012228799</v>
      </c>
      <c r="X48" s="1">
        <v>22.208578256225</v>
      </c>
      <c r="Y48" s="1">
        <v>0</v>
      </c>
      <c r="Z48" s="1">
        <v>66.977287461257006</v>
      </c>
      <c r="AA48" s="1">
        <v>468.841012228799</v>
      </c>
      <c r="AB48" s="1">
        <v>22.208578256225</v>
      </c>
      <c r="AC48" s="1">
        <v>0</v>
      </c>
      <c r="AD48" t="s">
        <v>36</v>
      </c>
    </row>
    <row r="49" spans="1:30" x14ac:dyDescent="0.2">
      <c r="A49" s="1">
        <v>24</v>
      </c>
      <c r="B49" t="s">
        <v>85</v>
      </c>
      <c r="C49">
        <f t="shared" si="0"/>
        <v>1.5</v>
      </c>
      <c r="D49" t="s">
        <v>79</v>
      </c>
      <c r="E49" s="1">
        <v>8</v>
      </c>
      <c r="F49" s="1">
        <v>120</v>
      </c>
      <c r="G49" s="1">
        <v>3</v>
      </c>
      <c r="H49" s="1">
        <v>741.31128874149294</v>
      </c>
      <c r="I49" t="s">
        <v>90</v>
      </c>
      <c r="J49" s="1">
        <v>741.31128874149294</v>
      </c>
      <c r="K49" t="s">
        <v>90</v>
      </c>
      <c r="L49" s="1">
        <v>63.540795020799003</v>
      </c>
      <c r="M49" s="1">
        <v>4</v>
      </c>
      <c r="N49" s="1">
        <v>7</v>
      </c>
      <c r="O49" s="1">
        <v>6.2857142857139996</v>
      </c>
      <c r="P49" s="1">
        <v>63.540795020799003</v>
      </c>
      <c r="Q49" s="1">
        <v>4</v>
      </c>
      <c r="R49" s="1">
        <v>7</v>
      </c>
      <c r="S49" s="1">
        <v>6.2857142857139996</v>
      </c>
      <c r="T49" t="s">
        <v>35</v>
      </c>
      <c r="U49" s="1">
        <v>1.5</v>
      </c>
      <c r="V49" s="1">
        <v>69.969366449370995</v>
      </c>
      <c r="W49" s="1">
        <v>489.78556514559699</v>
      </c>
      <c r="X49" s="1">
        <v>11.647191995385</v>
      </c>
      <c r="Y49" s="1">
        <v>0</v>
      </c>
      <c r="Z49" s="1">
        <v>69.969366449370995</v>
      </c>
      <c r="AA49" s="1">
        <v>489.78556514559699</v>
      </c>
      <c r="AB49" s="1">
        <v>11.647191995385</v>
      </c>
      <c r="AC49" s="1">
        <v>0</v>
      </c>
      <c r="AD49" t="s">
        <v>36</v>
      </c>
    </row>
    <row r="50" spans="1:30" x14ac:dyDescent="0.2">
      <c r="A50" s="1">
        <v>25</v>
      </c>
      <c r="B50" t="s">
        <v>91</v>
      </c>
      <c r="C50">
        <f t="shared" si="0"/>
        <v>1</v>
      </c>
      <c r="D50" t="s">
        <v>79</v>
      </c>
      <c r="E50" s="1">
        <v>4</v>
      </c>
      <c r="F50" s="1">
        <v>60</v>
      </c>
      <c r="G50" s="1">
        <v>3</v>
      </c>
      <c r="H50" s="1">
        <v>645.558144296406</v>
      </c>
      <c r="I50" t="s">
        <v>92</v>
      </c>
      <c r="J50" s="1">
        <v>645.558144296406</v>
      </c>
      <c r="K50" t="s">
        <v>92</v>
      </c>
      <c r="L50" s="1">
        <v>42.727437144031001</v>
      </c>
      <c r="M50" s="1">
        <v>1</v>
      </c>
      <c r="N50" s="1">
        <v>12</v>
      </c>
      <c r="O50" s="1">
        <v>3.583333333333</v>
      </c>
      <c r="P50" s="1">
        <v>42.727437144031001</v>
      </c>
      <c r="Q50" s="1">
        <v>1</v>
      </c>
      <c r="R50" s="1">
        <v>12</v>
      </c>
      <c r="S50" s="1">
        <v>3.583333333333</v>
      </c>
      <c r="T50" t="s">
        <v>35</v>
      </c>
      <c r="U50" s="1">
        <v>1</v>
      </c>
      <c r="V50" s="1">
        <v>47.727437144031001</v>
      </c>
      <c r="W50" s="1">
        <v>572.72924572837201</v>
      </c>
      <c r="X50" s="1">
        <v>2.0068800624219998</v>
      </c>
      <c r="Y50" s="1">
        <v>0</v>
      </c>
      <c r="Z50" s="1">
        <v>47.727437144031001</v>
      </c>
      <c r="AA50" s="1">
        <v>572.72924572837201</v>
      </c>
      <c r="AB50" s="1">
        <v>2.0068800624219998</v>
      </c>
      <c r="AC50" s="1">
        <v>0</v>
      </c>
      <c r="AD50" t="s">
        <v>36</v>
      </c>
    </row>
    <row r="51" spans="1:30" x14ac:dyDescent="0.2">
      <c r="A51" s="1">
        <v>26</v>
      </c>
      <c r="B51" t="s">
        <v>91</v>
      </c>
      <c r="C51">
        <f t="shared" si="0"/>
        <v>1</v>
      </c>
      <c r="D51" t="s">
        <v>79</v>
      </c>
      <c r="E51" s="1">
        <v>4</v>
      </c>
      <c r="F51" s="1">
        <v>90</v>
      </c>
      <c r="G51" s="1">
        <v>2</v>
      </c>
      <c r="H51" s="1">
        <v>645.558144296406</v>
      </c>
      <c r="I51" t="s">
        <v>92</v>
      </c>
      <c r="J51" s="1">
        <v>724.40898192660995</v>
      </c>
      <c r="K51" t="s">
        <v>93</v>
      </c>
      <c r="L51" s="1">
        <v>42.727437144031001</v>
      </c>
      <c r="M51" s="1">
        <v>1</v>
      </c>
      <c r="N51" s="1">
        <v>12</v>
      </c>
      <c r="O51" s="1">
        <v>3.583333333333</v>
      </c>
      <c r="P51" s="1">
        <v>59.991323135038002</v>
      </c>
      <c r="Q51" s="1">
        <v>1</v>
      </c>
      <c r="R51" s="1">
        <v>11</v>
      </c>
      <c r="S51" s="1">
        <v>3.9090909090910002</v>
      </c>
      <c r="T51" t="s">
        <v>35</v>
      </c>
      <c r="U51" s="1">
        <v>1</v>
      </c>
      <c r="V51" s="1">
        <v>47.727437144031001</v>
      </c>
      <c r="W51" s="1">
        <v>572.72924572837201</v>
      </c>
      <c r="X51" s="1">
        <v>2.0068800624219998</v>
      </c>
      <c r="Y51" s="1">
        <v>0</v>
      </c>
      <c r="Z51" s="1">
        <v>65.445868589583</v>
      </c>
      <c r="AA51" s="1">
        <v>719.90455448541297</v>
      </c>
      <c r="AB51" s="1">
        <v>9.2458334657590004</v>
      </c>
      <c r="AC51" s="1">
        <v>0</v>
      </c>
      <c r="AD51" t="s">
        <v>36</v>
      </c>
    </row>
    <row r="52" spans="1:30" x14ac:dyDescent="0.2">
      <c r="A52" s="1">
        <v>27</v>
      </c>
      <c r="B52" t="s">
        <v>91</v>
      </c>
      <c r="C52">
        <f t="shared" si="0"/>
        <v>1</v>
      </c>
      <c r="D52" t="s">
        <v>79</v>
      </c>
      <c r="E52" s="1">
        <v>4</v>
      </c>
      <c r="F52" s="1">
        <v>120</v>
      </c>
      <c r="G52" s="1">
        <v>3</v>
      </c>
      <c r="H52" s="1">
        <v>591.47567759962499</v>
      </c>
      <c r="I52" t="s">
        <v>94</v>
      </c>
      <c r="J52" s="1">
        <v>663.68640610358705</v>
      </c>
      <c r="K52" t="s">
        <v>95</v>
      </c>
      <c r="L52" s="1">
        <v>52.847900358803997</v>
      </c>
      <c r="M52" s="1">
        <v>0</v>
      </c>
      <c r="N52" s="1">
        <v>12</v>
      </c>
      <c r="O52" s="1">
        <v>3.75</v>
      </c>
      <c r="P52" s="1">
        <v>59.224313035201</v>
      </c>
      <c r="Q52" s="1">
        <v>1</v>
      </c>
      <c r="R52" s="1">
        <v>12</v>
      </c>
      <c r="S52" s="1">
        <v>3.583333333333</v>
      </c>
      <c r="T52" t="s">
        <v>35</v>
      </c>
      <c r="U52" s="1">
        <v>1</v>
      </c>
      <c r="V52" s="1">
        <v>57.847900358803997</v>
      </c>
      <c r="W52" s="1">
        <v>636.32690394684403</v>
      </c>
      <c r="X52" s="1">
        <v>4.2915024406680002</v>
      </c>
      <c r="Y52" s="1">
        <v>0</v>
      </c>
      <c r="Z52" s="1">
        <v>64.640979701868005</v>
      </c>
      <c r="AA52" s="1">
        <v>775.69175642241601</v>
      </c>
      <c r="AB52" s="1">
        <v>6.91203518883</v>
      </c>
      <c r="AC52" s="1">
        <v>0.60530137824399999</v>
      </c>
      <c r="AD52" t="s">
        <v>36</v>
      </c>
    </row>
    <row r="53" spans="1:30" x14ac:dyDescent="0.2">
      <c r="A53" s="1">
        <v>28</v>
      </c>
      <c r="B53" t="s">
        <v>91</v>
      </c>
      <c r="C53">
        <f t="shared" si="0"/>
        <v>1</v>
      </c>
      <c r="D53" t="s">
        <v>79</v>
      </c>
      <c r="E53" s="1">
        <v>8</v>
      </c>
      <c r="F53" s="1">
        <v>60</v>
      </c>
      <c r="G53" s="1">
        <v>3</v>
      </c>
      <c r="H53" s="1">
        <v>645.558144296406</v>
      </c>
      <c r="I53" t="s">
        <v>92</v>
      </c>
      <c r="J53" s="1">
        <v>645.558144296406</v>
      </c>
      <c r="K53" t="s">
        <v>92</v>
      </c>
      <c r="L53" s="1">
        <v>42.727437144031001</v>
      </c>
      <c r="M53" s="1">
        <v>1</v>
      </c>
      <c r="N53" s="1">
        <v>12</v>
      </c>
      <c r="O53" s="1">
        <v>3.583333333333</v>
      </c>
      <c r="P53" s="1">
        <v>42.727437144031001</v>
      </c>
      <c r="Q53" s="1">
        <v>1</v>
      </c>
      <c r="R53" s="1">
        <v>12</v>
      </c>
      <c r="S53" s="1">
        <v>3.583333333333</v>
      </c>
      <c r="T53" t="s">
        <v>35</v>
      </c>
      <c r="U53" s="1">
        <v>1</v>
      </c>
      <c r="V53" s="1">
        <v>47.727437144031001</v>
      </c>
      <c r="W53" s="1">
        <v>572.72924572837201</v>
      </c>
      <c r="X53" s="1">
        <v>2.0068800624219998</v>
      </c>
      <c r="Y53" s="1">
        <v>0</v>
      </c>
      <c r="Z53" s="1">
        <v>47.727437144031001</v>
      </c>
      <c r="AA53" s="1">
        <v>572.72924572837201</v>
      </c>
      <c r="AB53" s="1">
        <v>2.0068800624219998</v>
      </c>
      <c r="AC53" s="1">
        <v>0</v>
      </c>
      <c r="AD53" t="s">
        <v>36</v>
      </c>
    </row>
    <row r="54" spans="1:30" x14ac:dyDescent="0.2">
      <c r="A54" s="1">
        <v>29</v>
      </c>
      <c r="B54" t="s">
        <v>91</v>
      </c>
      <c r="C54">
        <f t="shared" si="0"/>
        <v>1</v>
      </c>
      <c r="D54" t="s">
        <v>79</v>
      </c>
      <c r="E54" s="1">
        <v>8</v>
      </c>
      <c r="F54" s="1">
        <v>90</v>
      </c>
      <c r="G54" s="1">
        <v>4</v>
      </c>
      <c r="H54" s="1">
        <v>588.29822128134697</v>
      </c>
      <c r="I54" t="s">
        <v>96</v>
      </c>
      <c r="J54" s="1">
        <v>588.29822128134697</v>
      </c>
      <c r="K54" t="s">
        <v>96</v>
      </c>
      <c r="L54" s="1">
        <v>55.975296631715999</v>
      </c>
      <c r="M54" s="1">
        <v>1</v>
      </c>
      <c r="N54" s="1">
        <v>8</v>
      </c>
      <c r="O54" s="1">
        <v>5.5</v>
      </c>
      <c r="P54" s="1">
        <v>55.975296631715999</v>
      </c>
      <c r="Q54" s="1">
        <v>1</v>
      </c>
      <c r="R54" s="1">
        <v>8</v>
      </c>
      <c r="S54" s="1">
        <v>5.5</v>
      </c>
      <c r="T54" t="s">
        <v>35</v>
      </c>
      <c r="U54" s="1">
        <v>1</v>
      </c>
      <c r="V54" s="1">
        <v>60.975296631715999</v>
      </c>
      <c r="W54" s="1">
        <v>487.80237305372799</v>
      </c>
      <c r="X54" s="1">
        <v>5.6200156338799996</v>
      </c>
      <c r="Y54" s="1">
        <v>0</v>
      </c>
      <c r="Z54" s="1">
        <v>60.975296631715999</v>
      </c>
      <c r="AA54" s="1">
        <v>487.80237305372799</v>
      </c>
      <c r="AB54" s="1">
        <v>5.6200156338799996</v>
      </c>
      <c r="AC54" s="1">
        <v>0</v>
      </c>
      <c r="AD54" t="s">
        <v>36</v>
      </c>
    </row>
    <row r="55" spans="1:30" x14ac:dyDescent="0.2">
      <c r="A55" s="1">
        <v>30</v>
      </c>
      <c r="B55" t="s">
        <v>91</v>
      </c>
      <c r="C55">
        <f t="shared" si="0"/>
        <v>1</v>
      </c>
      <c r="D55" t="s">
        <v>79</v>
      </c>
      <c r="E55" s="1">
        <v>8</v>
      </c>
      <c r="F55" s="1">
        <v>120</v>
      </c>
      <c r="G55" s="1">
        <v>4</v>
      </c>
      <c r="H55" s="1">
        <v>588.29822128134697</v>
      </c>
      <c r="I55" t="s">
        <v>96</v>
      </c>
      <c r="J55" s="1">
        <v>589.53628264095596</v>
      </c>
      <c r="K55" t="s">
        <v>97</v>
      </c>
      <c r="L55" s="1">
        <v>55.975296631715999</v>
      </c>
      <c r="M55" s="1">
        <v>1</v>
      </c>
      <c r="N55" s="1">
        <v>8</v>
      </c>
      <c r="O55" s="1">
        <v>5.5</v>
      </c>
      <c r="P55" s="1">
        <v>59.632810091364</v>
      </c>
      <c r="Q55" s="1">
        <v>2</v>
      </c>
      <c r="R55" s="1">
        <v>7</v>
      </c>
      <c r="S55" s="1">
        <v>6.1428571428570002</v>
      </c>
      <c r="T55" t="s">
        <v>35</v>
      </c>
      <c r="U55" s="1">
        <v>1</v>
      </c>
      <c r="V55" s="1">
        <v>60.975296631715999</v>
      </c>
      <c r="W55" s="1">
        <v>487.80237305372799</v>
      </c>
      <c r="X55" s="1">
        <v>5.6200156338799996</v>
      </c>
      <c r="Y55" s="1">
        <v>0</v>
      </c>
      <c r="Z55" s="1">
        <v>65.34709580565</v>
      </c>
      <c r="AA55" s="1">
        <v>457.42967063955001</v>
      </c>
      <c r="AB55" s="1">
        <v>7.2843394696730002</v>
      </c>
      <c r="AC55" s="1">
        <v>0</v>
      </c>
      <c r="AD55" t="s">
        <v>36</v>
      </c>
    </row>
    <row r="56" spans="1:30" x14ac:dyDescent="0.2">
      <c r="A56" s="1">
        <v>31</v>
      </c>
      <c r="B56" t="s">
        <v>98</v>
      </c>
      <c r="C56">
        <f t="shared" si="0"/>
        <v>2.5</v>
      </c>
      <c r="D56" t="s">
        <v>79</v>
      </c>
      <c r="E56" s="1">
        <v>4</v>
      </c>
      <c r="F56" s="1">
        <v>60</v>
      </c>
      <c r="G56" s="1">
        <v>3</v>
      </c>
      <c r="H56" s="1">
        <v>962.29822128134697</v>
      </c>
      <c r="I56" t="s">
        <v>99</v>
      </c>
      <c r="J56" s="1">
        <v>962.29822128134697</v>
      </c>
      <c r="K56" t="s">
        <v>99</v>
      </c>
      <c r="L56" s="1">
        <v>41.377360941079999</v>
      </c>
      <c r="M56" s="1">
        <v>2</v>
      </c>
      <c r="N56" s="1">
        <v>12</v>
      </c>
      <c r="O56" s="1">
        <v>3.333333333333</v>
      </c>
      <c r="P56" s="1">
        <v>41.377360941079999</v>
      </c>
      <c r="Q56" s="1">
        <v>2</v>
      </c>
      <c r="R56" s="1">
        <v>12</v>
      </c>
      <c r="S56" s="1">
        <v>3.333333333333</v>
      </c>
      <c r="T56" t="s">
        <v>35</v>
      </c>
      <c r="U56" s="1">
        <v>2.5</v>
      </c>
      <c r="V56" s="1">
        <v>46.377360941079999</v>
      </c>
      <c r="W56" s="1">
        <v>556.52833129296005</v>
      </c>
      <c r="X56" s="1">
        <v>28.198450869910999</v>
      </c>
      <c r="Y56" s="1">
        <v>0</v>
      </c>
      <c r="Z56" s="1">
        <v>46.377360941079999</v>
      </c>
      <c r="AA56" s="1">
        <v>556.52833129296005</v>
      </c>
      <c r="AB56" s="1">
        <v>28.198450869910999</v>
      </c>
      <c r="AC56" s="1">
        <v>0</v>
      </c>
      <c r="AD56" t="s">
        <v>36</v>
      </c>
    </row>
    <row r="57" spans="1:30" x14ac:dyDescent="0.2">
      <c r="A57" s="1">
        <v>32</v>
      </c>
      <c r="B57" t="s">
        <v>98</v>
      </c>
      <c r="C57">
        <f t="shared" si="0"/>
        <v>2.5</v>
      </c>
      <c r="D57" t="s">
        <v>79</v>
      </c>
      <c r="E57" s="1">
        <v>4</v>
      </c>
      <c r="F57" s="1">
        <v>90</v>
      </c>
      <c r="G57" s="1">
        <v>4</v>
      </c>
      <c r="H57" s="1">
        <v>931.07886552931996</v>
      </c>
      <c r="I57" t="s">
        <v>100</v>
      </c>
      <c r="J57" s="1">
        <v>931.07886552931996</v>
      </c>
      <c r="K57" t="s">
        <v>100</v>
      </c>
      <c r="L57" s="1">
        <v>59.764693433475998</v>
      </c>
      <c r="M57" s="1">
        <v>3</v>
      </c>
      <c r="N57" s="1">
        <v>13</v>
      </c>
      <c r="O57" s="1">
        <v>3.4615384615379998</v>
      </c>
      <c r="P57" s="1">
        <v>59.764693433475998</v>
      </c>
      <c r="Q57" s="1">
        <v>3</v>
      </c>
      <c r="R57" s="1">
        <v>13</v>
      </c>
      <c r="S57" s="1">
        <v>3.4615384615379998</v>
      </c>
      <c r="T57" t="s">
        <v>35</v>
      </c>
      <c r="U57" s="1">
        <v>2.5</v>
      </c>
      <c r="V57" s="1">
        <v>65.533924202706999</v>
      </c>
      <c r="W57" s="1">
        <v>851.94101463519098</v>
      </c>
      <c r="X57" s="1">
        <v>17.294961948006002</v>
      </c>
      <c r="Y57" s="1">
        <v>0</v>
      </c>
      <c r="Z57" s="1">
        <v>65.533924202706999</v>
      </c>
      <c r="AA57" s="1">
        <v>851.94101463519098</v>
      </c>
      <c r="AB57" s="1">
        <v>17.294961948006002</v>
      </c>
      <c r="AC57" s="1">
        <v>0</v>
      </c>
      <c r="AD57" t="s">
        <v>36</v>
      </c>
    </row>
    <row r="58" spans="1:30" x14ac:dyDescent="0.2">
      <c r="A58" s="1">
        <v>33</v>
      </c>
      <c r="B58" t="s">
        <v>98</v>
      </c>
      <c r="C58">
        <f t="shared" si="0"/>
        <v>2.5</v>
      </c>
      <c r="D58" t="s">
        <v>79</v>
      </c>
      <c r="E58" s="1">
        <v>4</v>
      </c>
      <c r="F58" s="1">
        <v>120</v>
      </c>
      <c r="G58" s="1">
        <v>1</v>
      </c>
      <c r="H58" s="1">
        <v>931.07886552931996</v>
      </c>
      <c r="I58" t="s">
        <v>100</v>
      </c>
      <c r="J58" s="1">
        <v>931.07886552931996</v>
      </c>
      <c r="K58" t="s">
        <v>101</v>
      </c>
      <c r="L58" s="1">
        <v>59.764693433475998</v>
      </c>
      <c r="M58" s="1">
        <v>3</v>
      </c>
      <c r="N58" s="1">
        <v>13</v>
      </c>
      <c r="O58" s="1">
        <v>3.4615384615379998</v>
      </c>
      <c r="P58" s="1">
        <v>55.097546503502002</v>
      </c>
      <c r="Q58" s="1">
        <v>1</v>
      </c>
      <c r="R58" s="1">
        <v>14</v>
      </c>
      <c r="S58" s="1">
        <v>3.1428571428569998</v>
      </c>
      <c r="T58" t="s">
        <v>35</v>
      </c>
      <c r="U58" s="1">
        <v>2.5</v>
      </c>
      <c r="V58" s="1">
        <v>65.533924202706999</v>
      </c>
      <c r="W58" s="1">
        <v>851.94101463519098</v>
      </c>
      <c r="X58" s="1">
        <v>17.294961948006002</v>
      </c>
      <c r="Y58" s="1">
        <v>0</v>
      </c>
      <c r="Z58" s="1">
        <v>60.454689360644998</v>
      </c>
      <c r="AA58" s="1">
        <v>846.36565104903002</v>
      </c>
      <c r="AB58" s="1">
        <v>8.1624135225090004</v>
      </c>
      <c r="AC58" s="1">
        <v>0.82821872668700003</v>
      </c>
      <c r="AD58" t="s">
        <v>36</v>
      </c>
    </row>
    <row r="59" spans="1:30" x14ac:dyDescent="0.2">
      <c r="A59" s="1">
        <v>34</v>
      </c>
      <c r="B59" t="s">
        <v>98</v>
      </c>
      <c r="C59">
        <f t="shared" si="0"/>
        <v>2.5</v>
      </c>
      <c r="D59" t="s">
        <v>79</v>
      </c>
      <c r="E59" s="1">
        <v>8</v>
      </c>
      <c r="F59" s="1">
        <v>60</v>
      </c>
      <c r="G59" s="1">
        <v>5</v>
      </c>
      <c r="H59" s="1">
        <v>962.29822128134697</v>
      </c>
      <c r="I59" t="s">
        <v>102</v>
      </c>
      <c r="J59" s="1">
        <v>962.29822128134697</v>
      </c>
      <c r="K59" t="s">
        <v>103</v>
      </c>
      <c r="L59" s="1">
        <v>43.485862050986</v>
      </c>
      <c r="M59" s="1">
        <v>0</v>
      </c>
      <c r="N59" s="1">
        <v>8</v>
      </c>
      <c r="O59" s="1">
        <v>5.375</v>
      </c>
      <c r="P59" s="1">
        <v>41.049023939176003</v>
      </c>
      <c r="Q59" s="1">
        <v>1</v>
      </c>
      <c r="R59" s="1">
        <v>8</v>
      </c>
      <c r="S59" s="1">
        <v>4.625</v>
      </c>
      <c r="T59" t="s">
        <v>35</v>
      </c>
      <c r="U59" s="1">
        <v>2.5</v>
      </c>
      <c r="V59" s="1">
        <v>48.485862050986</v>
      </c>
      <c r="W59" s="1">
        <v>339.40103435690202</v>
      </c>
      <c r="X59" s="1">
        <v>20.197344348419001</v>
      </c>
      <c r="Y59" s="1">
        <v>0</v>
      </c>
      <c r="Z59" s="1">
        <v>46.049023939176003</v>
      </c>
      <c r="AA59" s="1">
        <v>368.39219151340802</v>
      </c>
      <c r="AB59" s="1">
        <v>4.9226763048660001</v>
      </c>
      <c r="AC59" s="1">
        <v>0</v>
      </c>
      <c r="AD59" t="s">
        <v>36</v>
      </c>
    </row>
    <row r="60" spans="1:30" x14ac:dyDescent="0.2">
      <c r="A60" s="1">
        <v>35</v>
      </c>
      <c r="B60" t="s">
        <v>98</v>
      </c>
      <c r="C60">
        <f t="shared" si="0"/>
        <v>2.5</v>
      </c>
      <c r="D60" t="s">
        <v>79</v>
      </c>
      <c r="E60" s="1">
        <v>8</v>
      </c>
      <c r="F60" s="1">
        <v>90</v>
      </c>
      <c r="G60" s="1">
        <v>3</v>
      </c>
      <c r="H60" s="1">
        <v>931.07886552931996</v>
      </c>
      <c r="I60" t="s">
        <v>104</v>
      </c>
      <c r="J60" s="1">
        <v>931.07886552931996</v>
      </c>
      <c r="K60" t="s">
        <v>104</v>
      </c>
      <c r="L60" s="1">
        <v>56.158506429592002</v>
      </c>
      <c r="M60" s="1">
        <v>5</v>
      </c>
      <c r="N60" s="1">
        <v>11</v>
      </c>
      <c r="O60" s="1">
        <v>4.1818181818179996</v>
      </c>
      <c r="P60" s="1">
        <v>56.158506429592002</v>
      </c>
      <c r="Q60" s="1">
        <v>5</v>
      </c>
      <c r="R60" s="1">
        <v>11</v>
      </c>
      <c r="S60" s="1">
        <v>4.1818181818179996</v>
      </c>
      <c r="T60" t="s">
        <v>35</v>
      </c>
      <c r="U60" s="1">
        <v>2.5</v>
      </c>
      <c r="V60" s="1">
        <v>62.522142793227999</v>
      </c>
      <c r="W60" s="1">
        <v>687.74357072550799</v>
      </c>
      <c r="X60" s="1">
        <v>17.744602087149001</v>
      </c>
      <c r="Y60" s="1">
        <v>0</v>
      </c>
      <c r="Z60" s="1">
        <v>62.522142793227999</v>
      </c>
      <c r="AA60" s="1">
        <v>687.74357072550799</v>
      </c>
      <c r="AB60" s="1">
        <v>17.744602087149001</v>
      </c>
      <c r="AC60" s="1">
        <v>0</v>
      </c>
      <c r="AD60" t="s">
        <v>36</v>
      </c>
    </row>
    <row r="61" spans="1:30" x14ac:dyDescent="0.2">
      <c r="A61" s="1">
        <v>36</v>
      </c>
      <c r="B61" t="s">
        <v>98</v>
      </c>
      <c r="C61">
        <f t="shared" si="0"/>
        <v>2.5</v>
      </c>
      <c r="D61" t="s">
        <v>79</v>
      </c>
      <c r="E61" s="1">
        <v>8</v>
      </c>
      <c r="F61" s="1">
        <v>120</v>
      </c>
      <c r="G61" s="1">
        <v>3</v>
      </c>
      <c r="H61" s="1">
        <v>931.07886552931996</v>
      </c>
      <c r="I61" t="s">
        <v>105</v>
      </c>
      <c r="J61" s="1">
        <v>931.07886552931996</v>
      </c>
      <c r="K61" t="s">
        <v>105</v>
      </c>
      <c r="L61" s="1">
        <v>62.292902793164998</v>
      </c>
      <c r="M61" s="1">
        <v>4</v>
      </c>
      <c r="N61" s="1">
        <v>12</v>
      </c>
      <c r="O61" s="1">
        <v>3.666666666667</v>
      </c>
      <c r="P61" s="1">
        <v>62.292902793164998</v>
      </c>
      <c r="Q61" s="1">
        <v>4</v>
      </c>
      <c r="R61" s="1">
        <v>12</v>
      </c>
      <c r="S61" s="1">
        <v>3.666666666667</v>
      </c>
      <c r="T61" t="s">
        <v>35</v>
      </c>
      <c r="U61" s="1">
        <v>2.5</v>
      </c>
      <c r="V61" s="1">
        <v>68.959569459831002</v>
      </c>
      <c r="W61" s="1">
        <v>827.51483351797197</v>
      </c>
      <c r="X61" s="1">
        <v>18.401526826255999</v>
      </c>
      <c r="Y61" s="1">
        <v>7.2279973792000005E-2</v>
      </c>
      <c r="Z61" s="1">
        <v>68.959569459831002</v>
      </c>
      <c r="AA61" s="1">
        <v>827.51483351797197</v>
      </c>
      <c r="AB61" s="1">
        <v>18.401526826255999</v>
      </c>
      <c r="AC61" s="1">
        <v>7.2279973792000005E-2</v>
      </c>
      <c r="AD61" t="s">
        <v>36</v>
      </c>
    </row>
    <row r="62" spans="1:30" x14ac:dyDescent="0.2">
      <c r="A62" s="1">
        <v>37</v>
      </c>
      <c r="B62" t="s">
        <v>106</v>
      </c>
      <c r="C62">
        <f t="shared" si="0"/>
        <v>2</v>
      </c>
      <c r="D62" t="s">
        <v>79</v>
      </c>
      <c r="E62" s="1">
        <v>4</v>
      </c>
      <c r="F62" s="1">
        <v>60</v>
      </c>
      <c r="G62" s="1">
        <v>5</v>
      </c>
      <c r="H62" s="1">
        <v>869.32380757938097</v>
      </c>
      <c r="I62" t="s">
        <v>107</v>
      </c>
      <c r="J62" s="1">
        <v>1149</v>
      </c>
      <c r="K62" t="s">
        <v>108</v>
      </c>
      <c r="L62" s="1">
        <v>38.363845876070002</v>
      </c>
      <c r="M62" s="1">
        <v>0</v>
      </c>
      <c r="N62" s="1">
        <v>13</v>
      </c>
      <c r="O62" s="1">
        <v>3.2307692307689999</v>
      </c>
      <c r="P62" s="1">
        <v>48.166378315168998</v>
      </c>
      <c r="Q62" s="1">
        <v>1</v>
      </c>
      <c r="R62" s="1">
        <v>1</v>
      </c>
      <c r="S62" s="1">
        <v>4</v>
      </c>
      <c r="T62" t="s">
        <v>35</v>
      </c>
      <c r="U62" s="1">
        <v>2</v>
      </c>
      <c r="V62" s="1">
        <v>43.363845876070002</v>
      </c>
      <c r="W62" s="1">
        <v>563.72999638890997</v>
      </c>
      <c r="X62" s="1">
        <v>24.221288687432999</v>
      </c>
      <c r="Y62" s="1">
        <v>0</v>
      </c>
      <c r="Z62" s="1">
        <v>53.166378315168998</v>
      </c>
      <c r="AA62" s="1">
        <v>53.166378315168998</v>
      </c>
      <c r="AB62" s="1">
        <v>0</v>
      </c>
      <c r="AC62" s="1">
        <v>0</v>
      </c>
      <c r="AD62" t="s">
        <v>36</v>
      </c>
    </row>
    <row r="63" spans="1:30" x14ac:dyDescent="0.2">
      <c r="A63" s="1">
        <v>38</v>
      </c>
      <c r="B63" t="s">
        <v>106</v>
      </c>
      <c r="C63">
        <f t="shared" si="0"/>
        <v>2</v>
      </c>
      <c r="D63" t="s">
        <v>79</v>
      </c>
      <c r="E63" s="1">
        <v>4</v>
      </c>
      <c r="F63" s="1">
        <v>90</v>
      </c>
      <c r="G63" s="1">
        <v>1</v>
      </c>
      <c r="H63" s="1">
        <v>830.04834939251998</v>
      </c>
      <c r="I63" t="s">
        <v>109</v>
      </c>
      <c r="J63" s="1">
        <v>830.04834939251998</v>
      </c>
      <c r="K63" t="s">
        <v>109</v>
      </c>
      <c r="L63" s="1">
        <v>52.728745638414999</v>
      </c>
      <c r="M63" s="1">
        <v>1</v>
      </c>
      <c r="N63" s="1">
        <v>13</v>
      </c>
      <c r="O63" s="1">
        <v>3.4615384615379998</v>
      </c>
      <c r="P63" s="1">
        <v>52.728745638414999</v>
      </c>
      <c r="Q63" s="1">
        <v>1</v>
      </c>
      <c r="R63" s="1">
        <v>13</v>
      </c>
      <c r="S63" s="1">
        <v>3.4615384615379998</v>
      </c>
      <c r="T63" t="s">
        <v>35</v>
      </c>
      <c r="U63" s="1">
        <v>2</v>
      </c>
      <c r="V63" s="1">
        <v>57.728745638414999</v>
      </c>
      <c r="W63" s="1">
        <v>750.47369329939499</v>
      </c>
      <c r="X63" s="1">
        <v>21.469527857473999</v>
      </c>
      <c r="Y63" s="1">
        <v>0</v>
      </c>
      <c r="Z63" s="1">
        <v>57.728745638414999</v>
      </c>
      <c r="AA63" s="1">
        <v>750.47369329939499</v>
      </c>
      <c r="AB63" s="1">
        <v>21.469527857473999</v>
      </c>
      <c r="AC63" s="1">
        <v>0</v>
      </c>
      <c r="AD63" t="s">
        <v>36</v>
      </c>
    </row>
    <row r="64" spans="1:30" x14ac:dyDescent="0.2">
      <c r="A64" s="1">
        <v>39</v>
      </c>
      <c r="B64" t="s">
        <v>106</v>
      </c>
      <c r="C64">
        <f t="shared" si="0"/>
        <v>2</v>
      </c>
      <c r="D64" t="s">
        <v>79</v>
      </c>
      <c r="E64" s="1">
        <v>4</v>
      </c>
      <c r="F64" s="1">
        <v>120</v>
      </c>
      <c r="G64" s="1">
        <v>1</v>
      </c>
      <c r="H64" s="1">
        <v>830.04834939251998</v>
      </c>
      <c r="I64" t="s">
        <v>110</v>
      </c>
      <c r="J64" s="1">
        <v>830.04834939251998</v>
      </c>
      <c r="K64" t="s">
        <v>110</v>
      </c>
      <c r="L64" s="1">
        <v>53.565071839711997</v>
      </c>
      <c r="M64" s="1">
        <v>2</v>
      </c>
      <c r="N64" s="1">
        <v>14</v>
      </c>
      <c r="O64" s="1">
        <v>3.214285714286</v>
      </c>
      <c r="P64" s="1">
        <v>53.565071839711997</v>
      </c>
      <c r="Q64" s="1">
        <v>2</v>
      </c>
      <c r="R64" s="1">
        <v>14</v>
      </c>
      <c r="S64" s="1">
        <v>3.214285714286</v>
      </c>
      <c r="T64" t="s">
        <v>35</v>
      </c>
      <c r="U64" s="1">
        <v>2</v>
      </c>
      <c r="V64" s="1">
        <v>58.922214696855001</v>
      </c>
      <c r="W64" s="1">
        <v>824.91100575597</v>
      </c>
      <c r="X64" s="1">
        <v>13.140257476477</v>
      </c>
      <c r="Y64" s="1">
        <v>0</v>
      </c>
      <c r="Z64" s="1">
        <v>58.922214696855001</v>
      </c>
      <c r="AA64" s="1">
        <v>824.91100575597</v>
      </c>
      <c r="AB64" s="1">
        <v>13.140257476477</v>
      </c>
      <c r="AC64" s="1">
        <v>0</v>
      </c>
      <c r="AD64" t="s">
        <v>36</v>
      </c>
    </row>
    <row r="65" spans="1:30" x14ac:dyDescent="0.2">
      <c r="A65" s="1">
        <v>40</v>
      </c>
      <c r="B65" t="s">
        <v>106</v>
      </c>
      <c r="C65">
        <f t="shared" si="0"/>
        <v>2</v>
      </c>
      <c r="D65" t="s">
        <v>79</v>
      </c>
      <c r="E65" s="1">
        <v>8</v>
      </c>
      <c r="F65" s="1">
        <v>60</v>
      </c>
      <c r="G65" s="1">
        <v>5</v>
      </c>
      <c r="H65" s="1">
        <v>869.32380757938097</v>
      </c>
      <c r="I65" t="s">
        <v>107</v>
      </c>
      <c r="J65" s="1">
        <v>1149</v>
      </c>
      <c r="K65" t="s">
        <v>108</v>
      </c>
      <c r="L65" s="1">
        <v>38.363845876070002</v>
      </c>
      <c r="M65" s="1">
        <v>0</v>
      </c>
      <c r="N65" s="1">
        <v>13</v>
      </c>
      <c r="O65" s="1">
        <v>3.2307692307689999</v>
      </c>
      <c r="P65" s="1">
        <v>48.166378315168998</v>
      </c>
      <c r="Q65" s="1">
        <v>1</v>
      </c>
      <c r="R65" s="1">
        <v>1</v>
      </c>
      <c r="S65" s="1">
        <v>4</v>
      </c>
      <c r="T65" t="s">
        <v>35</v>
      </c>
      <c r="U65" s="1">
        <v>2</v>
      </c>
      <c r="V65" s="1">
        <v>43.363845876070002</v>
      </c>
      <c r="W65" s="1">
        <v>563.72999638890997</v>
      </c>
      <c r="X65" s="1">
        <v>24.221288687432999</v>
      </c>
      <c r="Y65" s="1">
        <v>0</v>
      </c>
      <c r="Z65" s="1">
        <v>53.166378315168998</v>
      </c>
      <c r="AA65" s="1">
        <v>53.166378315168998</v>
      </c>
      <c r="AB65" s="1">
        <v>0</v>
      </c>
      <c r="AC65" s="1">
        <v>0</v>
      </c>
      <c r="AD65" t="s">
        <v>36</v>
      </c>
    </row>
    <row r="66" spans="1:30" x14ac:dyDescent="0.2">
      <c r="A66" s="1">
        <v>41</v>
      </c>
      <c r="B66" t="s">
        <v>106</v>
      </c>
      <c r="C66">
        <f t="shared" si="0"/>
        <v>2</v>
      </c>
      <c r="D66" t="s">
        <v>79</v>
      </c>
      <c r="E66" s="1">
        <v>8</v>
      </c>
      <c r="F66" s="1">
        <v>90</v>
      </c>
      <c r="G66" s="1">
        <v>3</v>
      </c>
      <c r="H66" s="1">
        <v>826.05551275463995</v>
      </c>
      <c r="I66" t="s">
        <v>111</v>
      </c>
      <c r="J66" s="1">
        <v>826.05551275463995</v>
      </c>
      <c r="K66" t="s">
        <v>111</v>
      </c>
      <c r="L66" s="1">
        <v>56.338538100351002</v>
      </c>
      <c r="M66" s="1">
        <v>2</v>
      </c>
      <c r="N66" s="1">
        <v>9</v>
      </c>
      <c r="O66" s="1">
        <v>5</v>
      </c>
      <c r="P66" s="1">
        <v>56.338538100351002</v>
      </c>
      <c r="Q66" s="1">
        <v>2</v>
      </c>
      <c r="R66" s="1">
        <v>9</v>
      </c>
      <c r="S66" s="1">
        <v>5</v>
      </c>
      <c r="T66" t="s">
        <v>35</v>
      </c>
      <c r="U66" s="1">
        <v>2</v>
      </c>
      <c r="V66" s="1">
        <v>61.894093655905998</v>
      </c>
      <c r="W66" s="1">
        <v>557.04684290315402</v>
      </c>
      <c r="X66" s="1">
        <v>37.710386214716003</v>
      </c>
      <c r="Y66" s="1">
        <v>0</v>
      </c>
      <c r="Z66" s="1">
        <v>61.894093655905998</v>
      </c>
      <c r="AA66" s="1">
        <v>557.04684290315402</v>
      </c>
      <c r="AB66" s="1">
        <v>37.710386214716003</v>
      </c>
      <c r="AC66" s="1">
        <v>0</v>
      </c>
      <c r="AD66" t="s">
        <v>36</v>
      </c>
    </row>
    <row r="67" spans="1:30" x14ac:dyDescent="0.2">
      <c r="A67" s="1">
        <v>42</v>
      </c>
      <c r="B67" t="s">
        <v>106</v>
      </c>
      <c r="C67">
        <f t="shared" ref="C67:C130" si="1">VALUE(_xlfn.TEXTBEFORE(_xlfn.TEXTAFTER(B67,"_",-1),".dat"))</f>
        <v>2</v>
      </c>
      <c r="D67" t="s">
        <v>79</v>
      </c>
      <c r="E67" s="1">
        <v>8</v>
      </c>
      <c r="F67" s="1">
        <v>120</v>
      </c>
      <c r="G67" s="1">
        <v>3</v>
      </c>
      <c r="H67" s="1">
        <v>826.05551275463995</v>
      </c>
      <c r="I67" t="s">
        <v>112</v>
      </c>
      <c r="J67" s="1">
        <v>826.05551275463995</v>
      </c>
      <c r="K67" t="s">
        <v>112</v>
      </c>
      <c r="L67" s="1">
        <v>57.041451197412997</v>
      </c>
      <c r="M67" s="1">
        <v>3</v>
      </c>
      <c r="N67" s="1">
        <v>11</v>
      </c>
      <c r="O67" s="1">
        <v>4</v>
      </c>
      <c r="P67" s="1">
        <v>57.041451197412997</v>
      </c>
      <c r="Q67" s="1">
        <v>3</v>
      </c>
      <c r="R67" s="1">
        <v>11</v>
      </c>
      <c r="S67" s="1">
        <v>4</v>
      </c>
      <c r="T67" t="s">
        <v>35</v>
      </c>
      <c r="U67" s="1">
        <v>2</v>
      </c>
      <c r="V67" s="1">
        <v>63.405087561049001</v>
      </c>
      <c r="W67" s="1">
        <v>697.455963171539</v>
      </c>
      <c r="X67" s="1">
        <v>10.36456158194</v>
      </c>
      <c r="Y67" s="1">
        <v>0.81022469646499995</v>
      </c>
      <c r="Z67" s="1">
        <v>63.405087561049001</v>
      </c>
      <c r="AA67" s="1">
        <v>697.455963171539</v>
      </c>
      <c r="AB67" s="1">
        <v>10.36456158194</v>
      </c>
      <c r="AC67" s="1">
        <v>0.81022469646499995</v>
      </c>
      <c r="AD67" t="s">
        <v>36</v>
      </c>
    </row>
    <row r="68" spans="1:30" x14ac:dyDescent="0.2">
      <c r="A68" s="1">
        <v>67</v>
      </c>
      <c r="B68" t="s">
        <v>113</v>
      </c>
      <c r="C68">
        <f t="shared" si="1"/>
        <v>3</v>
      </c>
      <c r="D68" t="s">
        <v>79</v>
      </c>
      <c r="E68" s="1">
        <v>4</v>
      </c>
      <c r="F68" s="1">
        <v>60</v>
      </c>
      <c r="G68" s="1">
        <v>1</v>
      </c>
      <c r="H68" s="1">
        <v>1201.1577303449201</v>
      </c>
      <c r="I68" t="s">
        <v>114</v>
      </c>
      <c r="J68" s="1">
        <v>1201.1577303449201</v>
      </c>
      <c r="K68" t="s">
        <v>114</v>
      </c>
      <c r="L68" s="1">
        <v>45.729946749527997</v>
      </c>
      <c r="M68" s="1">
        <v>1</v>
      </c>
      <c r="N68" s="1">
        <v>8</v>
      </c>
      <c r="O68" s="1">
        <v>2.625</v>
      </c>
      <c r="P68" s="1">
        <v>45.729946749527997</v>
      </c>
      <c r="Q68" s="1">
        <v>1</v>
      </c>
      <c r="R68" s="1">
        <v>8</v>
      </c>
      <c r="S68" s="1">
        <v>2.625</v>
      </c>
      <c r="T68" t="s">
        <v>35</v>
      </c>
      <c r="U68" s="1">
        <v>3</v>
      </c>
      <c r="V68" s="1">
        <v>51.444232463813997</v>
      </c>
      <c r="W68" s="1">
        <v>360.10962724669798</v>
      </c>
      <c r="X68" s="1">
        <v>3.411309536918</v>
      </c>
      <c r="Y68" s="1">
        <v>0</v>
      </c>
      <c r="Z68" s="1">
        <v>51.444232463813997</v>
      </c>
      <c r="AA68" s="1">
        <v>360.10962724669798</v>
      </c>
      <c r="AB68" s="1">
        <v>3.411309536918</v>
      </c>
      <c r="AC68" s="1">
        <v>0</v>
      </c>
      <c r="AD68" t="s">
        <v>36</v>
      </c>
    </row>
    <row r="69" spans="1:30" x14ac:dyDescent="0.2">
      <c r="A69" s="1">
        <v>44</v>
      </c>
      <c r="B69" t="s">
        <v>113</v>
      </c>
      <c r="C69">
        <f t="shared" si="1"/>
        <v>3</v>
      </c>
      <c r="D69" t="s">
        <v>79</v>
      </c>
      <c r="E69" s="1">
        <v>4</v>
      </c>
      <c r="F69" s="1">
        <v>90</v>
      </c>
      <c r="G69" s="1">
        <v>1</v>
      </c>
      <c r="H69" s="1">
        <v>1085.8058436014901</v>
      </c>
      <c r="I69" t="s">
        <v>115</v>
      </c>
      <c r="J69" s="1">
        <v>1085.8058436014901</v>
      </c>
      <c r="K69" t="s">
        <v>115</v>
      </c>
      <c r="L69" s="1">
        <v>56.506813477007</v>
      </c>
      <c r="M69" s="1">
        <v>1</v>
      </c>
      <c r="N69" s="1">
        <v>14</v>
      </c>
      <c r="O69" s="1">
        <v>3.214285714286</v>
      </c>
      <c r="P69" s="1">
        <v>56.506813477007</v>
      </c>
      <c r="Q69" s="1">
        <v>1</v>
      </c>
      <c r="R69" s="1">
        <v>14</v>
      </c>
      <c r="S69" s="1">
        <v>3.214285714286</v>
      </c>
      <c r="T69" t="s">
        <v>35</v>
      </c>
      <c r="U69" s="1">
        <v>3</v>
      </c>
      <c r="V69" s="1">
        <v>61.863956334149002</v>
      </c>
      <c r="W69" s="1">
        <v>866.09538867808601</v>
      </c>
      <c r="X69" s="1">
        <v>23.544212060654001</v>
      </c>
      <c r="Y69" s="1">
        <v>0</v>
      </c>
      <c r="Z69" s="1">
        <v>61.863956334149002</v>
      </c>
      <c r="AA69" s="1">
        <v>866.09538867808601</v>
      </c>
      <c r="AB69" s="1">
        <v>23.544212060654001</v>
      </c>
      <c r="AC69" s="1">
        <v>0</v>
      </c>
      <c r="AD69" t="s">
        <v>36</v>
      </c>
    </row>
    <row r="70" spans="1:30" x14ac:dyDescent="0.2">
      <c r="A70" s="1">
        <v>45</v>
      </c>
      <c r="B70" t="s">
        <v>113</v>
      </c>
      <c r="C70">
        <f t="shared" si="1"/>
        <v>3</v>
      </c>
      <c r="D70" t="s">
        <v>79</v>
      </c>
      <c r="E70" s="1">
        <v>4</v>
      </c>
      <c r="F70" s="1">
        <v>120</v>
      </c>
      <c r="G70" s="1">
        <v>4</v>
      </c>
      <c r="H70" s="1">
        <v>1085.8058436014901</v>
      </c>
      <c r="I70" t="s">
        <v>116</v>
      </c>
      <c r="J70" s="1">
        <v>1085.8058436014901</v>
      </c>
      <c r="K70" t="s">
        <v>116</v>
      </c>
      <c r="L70" s="1">
        <v>54.337818720012002</v>
      </c>
      <c r="M70" s="1">
        <v>2</v>
      </c>
      <c r="N70" s="1">
        <v>14</v>
      </c>
      <c r="O70" s="1">
        <v>3.285714285714</v>
      </c>
      <c r="P70" s="1">
        <v>54.337818720012002</v>
      </c>
      <c r="Q70" s="1">
        <v>2</v>
      </c>
      <c r="R70" s="1">
        <v>14</v>
      </c>
      <c r="S70" s="1">
        <v>3.285714285714</v>
      </c>
      <c r="T70" t="s">
        <v>35</v>
      </c>
      <c r="U70" s="1">
        <v>3</v>
      </c>
      <c r="V70" s="1">
        <v>59.694961577154999</v>
      </c>
      <c r="W70" s="1">
        <v>835.72946208017004</v>
      </c>
      <c r="X70" s="1">
        <v>34.390757090408997</v>
      </c>
      <c r="Y70" s="1">
        <v>1.073742662221</v>
      </c>
      <c r="Z70" s="1">
        <v>59.694961577154999</v>
      </c>
      <c r="AA70" s="1">
        <v>835.72946208017004</v>
      </c>
      <c r="AB70" s="1">
        <v>34.390757090408997</v>
      </c>
      <c r="AC70" s="1">
        <v>1.073742662221</v>
      </c>
      <c r="AD70" t="s">
        <v>36</v>
      </c>
    </row>
    <row r="71" spans="1:30" x14ac:dyDescent="0.2">
      <c r="A71" s="1">
        <v>70</v>
      </c>
      <c r="B71" t="s">
        <v>113</v>
      </c>
      <c r="C71">
        <f t="shared" si="1"/>
        <v>3</v>
      </c>
      <c r="D71" t="s">
        <v>79</v>
      </c>
      <c r="E71" s="1">
        <v>8</v>
      </c>
      <c r="F71" s="1">
        <v>60</v>
      </c>
      <c r="G71" s="1">
        <v>1</v>
      </c>
      <c r="H71" s="1">
        <v>1201.1577303449201</v>
      </c>
      <c r="I71" t="s">
        <v>114</v>
      </c>
      <c r="J71" s="1">
        <v>1222.65247584249</v>
      </c>
      <c r="K71" t="s">
        <v>117</v>
      </c>
      <c r="L71" s="1">
        <v>45.729946749527997</v>
      </c>
      <c r="M71" s="1">
        <v>1</v>
      </c>
      <c r="N71" s="1">
        <v>8</v>
      </c>
      <c r="O71" s="1">
        <v>2.625</v>
      </c>
      <c r="P71" s="1">
        <v>55.101723700313997</v>
      </c>
      <c r="Q71" s="1">
        <v>1</v>
      </c>
      <c r="R71" s="1">
        <v>4</v>
      </c>
      <c r="S71" s="1">
        <v>3.25</v>
      </c>
      <c r="T71" t="s">
        <v>35</v>
      </c>
      <c r="U71" s="1">
        <v>3</v>
      </c>
      <c r="V71" s="1">
        <v>51.444232463813997</v>
      </c>
      <c r="W71" s="1">
        <v>360.10962724669798</v>
      </c>
      <c r="X71" s="1">
        <v>3.411309536918</v>
      </c>
      <c r="Y71" s="1">
        <v>0</v>
      </c>
      <c r="Z71" s="1">
        <v>62.601723700313997</v>
      </c>
      <c r="AA71" s="1">
        <v>125.20344740062799</v>
      </c>
      <c r="AB71" s="1">
        <v>5.217491947499</v>
      </c>
      <c r="AC71" s="1">
        <v>0</v>
      </c>
      <c r="AD71" t="s">
        <v>36</v>
      </c>
    </row>
    <row r="72" spans="1:30" x14ac:dyDescent="0.2">
      <c r="A72" s="1">
        <v>47</v>
      </c>
      <c r="B72" t="s">
        <v>113</v>
      </c>
      <c r="C72">
        <f t="shared" si="1"/>
        <v>3</v>
      </c>
      <c r="D72" t="s">
        <v>79</v>
      </c>
      <c r="E72" s="1">
        <v>8</v>
      </c>
      <c r="F72" s="1">
        <v>90</v>
      </c>
      <c r="G72" s="1">
        <v>2</v>
      </c>
      <c r="H72" s="1">
        <v>1085.8058436014901</v>
      </c>
      <c r="I72" t="s">
        <v>118</v>
      </c>
      <c r="J72" s="1">
        <v>1085.8058436014901</v>
      </c>
      <c r="K72" t="s">
        <v>118</v>
      </c>
      <c r="L72" s="1">
        <v>65.651550479405003</v>
      </c>
      <c r="M72" s="1">
        <v>3</v>
      </c>
      <c r="N72" s="1">
        <v>7</v>
      </c>
      <c r="O72" s="1">
        <v>5.2857142857139996</v>
      </c>
      <c r="P72" s="1">
        <v>65.651550479405003</v>
      </c>
      <c r="Q72" s="1">
        <v>3</v>
      </c>
      <c r="R72" s="1">
        <v>7</v>
      </c>
      <c r="S72" s="1">
        <v>5.2857142857139996</v>
      </c>
      <c r="T72" t="s">
        <v>35</v>
      </c>
      <c r="U72" s="1">
        <v>3</v>
      </c>
      <c r="V72" s="1">
        <v>71.365836193690996</v>
      </c>
      <c r="W72" s="1">
        <v>499.56085335583703</v>
      </c>
      <c r="X72" s="1">
        <v>14.351215778773</v>
      </c>
      <c r="Y72" s="1">
        <v>0</v>
      </c>
      <c r="Z72" s="1">
        <v>71.365836193690996</v>
      </c>
      <c r="AA72" s="1">
        <v>499.56085335583703</v>
      </c>
      <c r="AB72" s="1">
        <v>14.351215778773</v>
      </c>
      <c r="AC72" s="1">
        <v>0</v>
      </c>
      <c r="AD72" t="s">
        <v>36</v>
      </c>
    </row>
    <row r="73" spans="1:30" x14ac:dyDescent="0.2">
      <c r="A73" s="1">
        <v>48</v>
      </c>
      <c r="B73" t="s">
        <v>113</v>
      </c>
      <c r="C73">
        <f t="shared" si="1"/>
        <v>3</v>
      </c>
      <c r="D73" t="s">
        <v>79</v>
      </c>
      <c r="E73" s="1">
        <v>8</v>
      </c>
      <c r="F73" s="1">
        <v>120</v>
      </c>
      <c r="G73" s="1">
        <v>4</v>
      </c>
      <c r="H73" s="1">
        <v>1085.8058436014901</v>
      </c>
      <c r="I73" t="s">
        <v>119</v>
      </c>
      <c r="J73" s="1">
        <v>1085.8058436014901</v>
      </c>
      <c r="K73" t="s">
        <v>119</v>
      </c>
      <c r="L73" s="1">
        <v>61.875034538431002</v>
      </c>
      <c r="M73" s="1">
        <v>4</v>
      </c>
      <c r="N73" s="1">
        <v>13</v>
      </c>
      <c r="O73" s="1">
        <v>3.5384615384620002</v>
      </c>
      <c r="P73" s="1">
        <v>61.875034538431002</v>
      </c>
      <c r="Q73" s="1">
        <v>4</v>
      </c>
      <c r="R73" s="1">
        <v>13</v>
      </c>
      <c r="S73" s="1">
        <v>3.5384615384620002</v>
      </c>
      <c r="T73" t="s">
        <v>35</v>
      </c>
      <c r="U73" s="1">
        <v>3</v>
      </c>
      <c r="V73" s="1">
        <v>68.028880692276999</v>
      </c>
      <c r="W73" s="1">
        <v>884.37544899960096</v>
      </c>
      <c r="X73" s="1">
        <v>31.928834772258998</v>
      </c>
      <c r="Y73" s="1">
        <v>1.358791156169</v>
      </c>
      <c r="Z73" s="1">
        <v>68.028880692276999</v>
      </c>
      <c r="AA73" s="1">
        <v>884.37544899960096</v>
      </c>
      <c r="AB73" s="1">
        <v>31.928834772258998</v>
      </c>
      <c r="AC73" s="1">
        <v>1.358791156169</v>
      </c>
      <c r="AD73" t="s">
        <v>36</v>
      </c>
    </row>
    <row r="74" spans="1:30" x14ac:dyDescent="0.2">
      <c r="B74" t="s">
        <v>120</v>
      </c>
      <c r="C74">
        <f t="shared" si="1"/>
        <v>0.5</v>
      </c>
      <c r="D74" t="s">
        <v>121</v>
      </c>
      <c r="E74" s="1">
        <v>4</v>
      </c>
      <c r="F74" s="1">
        <v>60</v>
      </c>
      <c r="H74" s="1">
        <v>828</v>
      </c>
      <c r="I74" t="s">
        <v>122</v>
      </c>
      <c r="L74" s="1">
        <v>31.622776601683999</v>
      </c>
      <c r="M74" s="1">
        <v>0</v>
      </c>
      <c r="N74" s="1">
        <v>1</v>
      </c>
      <c r="O74" s="1">
        <v>1</v>
      </c>
      <c r="T74" t="s">
        <v>35</v>
      </c>
      <c r="U74" s="1">
        <v>0.5</v>
      </c>
      <c r="V74" s="1">
        <v>36.622776601684002</v>
      </c>
      <c r="W74" s="1">
        <v>36.622776601684002</v>
      </c>
      <c r="X74" s="1">
        <v>0</v>
      </c>
      <c r="Y74" s="1">
        <v>0</v>
      </c>
      <c r="AD74" t="s">
        <v>54</v>
      </c>
    </row>
    <row r="75" spans="1:30" x14ac:dyDescent="0.2">
      <c r="B75" t="s">
        <v>120</v>
      </c>
      <c r="C75">
        <f t="shared" si="1"/>
        <v>0.5</v>
      </c>
      <c r="D75" t="s">
        <v>121</v>
      </c>
      <c r="E75" s="1">
        <v>4</v>
      </c>
      <c r="F75" s="1">
        <v>90</v>
      </c>
      <c r="H75" s="1">
        <v>802.18033988749903</v>
      </c>
      <c r="I75" t="s">
        <v>123</v>
      </c>
      <c r="J75" s="1">
        <v>802.18033988749903</v>
      </c>
      <c r="K75" t="s">
        <v>123</v>
      </c>
      <c r="L75" s="1">
        <v>26.991728188341</v>
      </c>
      <c r="M75" s="1">
        <v>1</v>
      </c>
      <c r="N75" s="1">
        <v>2</v>
      </c>
      <c r="O75" s="1">
        <v>3</v>
      </c>
      <c r="P75" s="1">
        <v>26.991728188341</v>
      </c>
      <c r="Q75" s="1">
        <v>1</v>
      </c>
      <c r="R75" s="1">
        <v>2</v>
      </c>
      <c r="S75" s="1">
        <v>3</v>
      </c>
      <c r="T75" t="s">
        <v>35</v>
      </c>
      <c r="U75" s="1">
        <v>0.5</v>
      </c>
      <c r="V75" s="1">
        <v>31.991728188341</v>
      </c>
      <c r="W75" s="1">
        <v>63.983456376682</v>
      </c>
      <c r="X75" s="1">
        <v>14.495864094170001</v>
      </c>
      <c r="Y75" s="1">
        <v>0</v>
      </c>
      <c r="Z75" s="1">
        <v>31.991728188341</v>
      </c>
      <c r="AA75" s="1">
        <v>63.983456376682</v>
      </c>
      <c r="AB75" s="1">
        <v>14.495864094170001</v>
      </c>
      <c r="AC75" s="1">
        <v>0</v>
      </c>
      <c r="AD75" t="s">
        <v>54</v>
      </c>
    </row>
    <row r="76" spans="1:30" x14ac:dyDescent="0.2">
      <c r="B76" t="s">
        <v>120</v>
      </c>
      <c r="C76">
        <f t="shared" si="1"/>
        <v>0.5</v>
      </c>
      <c r="D76" t="s">
        <v>121</v>
      </c>
      <c r="E76" s="1">
        <v>4</v>
      </c>
      <c r="F76" s="1">
        <v>120</v>
      </c>
      <c r="H76" s="1">
        <v>802.18033988749903</v>
      </c>
      <c r="I76" t="s">
        <v>123</v>
      </c>
      <c r="J76" s="1">
        <v>802.18033988749903</v>
      </c>
      <c r="K76" t="s">
        <v>123</v>
      </c>
      <c r="L76" s="1">
        <v>26.991728188341</v>
      </c>
      <c r="M76" s="1">
        <v>1</v>
      </c>
      <c r="N76" s="1">
        <v>2</v>
      </c>
      <c r="O76" s="1">
        <v>3</v>
      </c>
      <c r="P76" s="1">
        <v>26.991728188341</v>
      </c>
      <c r="Q76" s="1">
        <v>1</v>
      </c>
      <c r="R76" s="1">
        <v>2</v>
      </c>
      <c r="S76" s="1">
        <v>3</v>
      </c>
      <c r="T76" t="s">
        <v>35</v>
      </c>
      <c r="U76" s="1">
        <v>0.5</v>
      </c>
      <c r="V76" s="1">
        <v>31.991728188341</v>
      </c>
      <c r="W76" s="1">
        <v>63.983456376682</v>
      </c>
      <c r="X76" s="1">
        <v>14.495864094170001</v>
      </c>
      <c r="Y76" s="1">
        <v>0</v>
      </c>
      <c r="Z76" s="1">
        <v>31.991728188341</v>
      </c>
      <c r="AA76" s="1">
        <v>63.983456376682</v>
      </c>
      <c r="AB76" s="1">
        <v>14.495864094170001</v>
      </c>
      <c r="AC76" s="1">
        <v>0</v>
      </c>
      <c r="AD76" t="s">
        <v>54</v>
      </c>
    </row>
    <row r="77" spans="1:30" x14ac:dyDescent="0.2">
      <c r="B77" t="s">
        <v>120</v>
      </c>
      <c r="C77">
        <f t="shared" si="1"/>
        <v>0.5</v>
      </c>
      <c r="D77" t="s">
        <v>121</v>
      </c>
      <c r="E77" s="1">
        <v>8</v>
      </c>
      <c r="F77" s="1">
        <v>60</v>
      </c>
      <c r="H77" s="1">
        <v>828</v>
      </c>
      <c r="I77" t="s">
        <v>122</v>
      </c>
      <c r="L77" s="1">
        <v>31.622776601683999</v>
      </c>
      <c r="M77" s="1">
        <v>0</v>
      </c>
      <c r="N77" s="1">
        <v>1</v>
      </c>
      <c r="O77" s="1">
        <v>1</v>
      </c>
      <c r="T77" t="s">
        <v>35</v>
      </c>
      <c r="U77" s="1">
        <v>0.5</v>
      </c>
      <c r="V77" s="1">
        <v>36.622776601684002</v>
      </c>
      <c r="W77" s="1">
        <v>36.622776601684002</v>
      </c>
      <c r="X77" s="1">
        <v>0</v>
      </c>
      <c r="Y77" s="1">
        <v>0</v>
      </c>
      <c r="AD77" t="s">
        <v>54</v>
      </c>
    </row>
    <row r="78" spans="1:30" x14ac:dyDescent="0.2">
      <c r="B78" t="s">
        <v>120</v>
      </c>
      <c r="C78">
        <f t="shared" si="1"/>
        <v>0.5</v>
      </c>
      <c r="D78" t="s">
        <v>121</v>
      </c>
      <c r="E78" s="1">
        <v>8</v>
      </c>
      <c r="F78" s="1">
        <v>90</v>
      </c>
      <c r="H78" s="1">
        <v>802.18033988749903</v>
      </c>
      <c r="I78" t="s">
        <v>123</v>
      </c>
      <c r="J78" s="1">
        <v>802.18033988749903</v>
      </c>
      <c r="K78" t="s">
        <v>123</v>
      </c>
      <c r="L78" s="1">
        <v>26.991728188341</v>
      </c>
      <c r="M78" s="1">
        <v>1</v>
      </c>
      <c r="N78" s="1">
        <v>2</v>
      </c>
      <c r="O78" s="1">
        <v>3</v>
      </c>
      <c r="P78" s="1">
        <v>26.991728188341</v>
      </c>
      <c r="Q78" s="1">
        <v>1</v>
      </c>
      <c r="R78" s="1">
        <v>2</v>
      </c>
      <c r="S78" s="1">
        <v>3</v>
      </c>
      <c r="T78" t="s">
        <v>35</v>
      </c>
      <c r="U78" s="1">
        <v>0.5</v>
      </c>
      <c r="V78" s="1">
        <v>31.991728188341</v>
      </c>
      <c r="W78" s="1">
        <v>63.983456376682</v>
      </c>
      <c r="X78" s="1">
        <v>14.495864094170001</v>
      </c>
      <c r="Y78" s="1">
        <v>0</v>
      </c>
      <c r="Z78" s="1">
        <v>31.991728188341</v>
      </c>
      <c r="AA78" s="1">
        <v>63.983456376682</v>
      </c>
      <c r="AB78" s="1">
        <v>14.495864094170001</v>
      </c>
      <c r="AC78" s="1">
        <v>0</v>
      </c>
      <c r="AD78" t="s">
        <v>54</v>
      </c>
    </row>
    <row r="79" spans="1:30" x14ac:dyDescent="0.2">
      <c r="B79" t="s">
        <v>120</v>
      </c>
      <c r="C79">
        <f t="shared" si="1"/>
        <v>0.5</v>
      </c>
      <c r="D79" t="s">
        <v>121</v>
      </c>
      <c r="E79" s="1">
        <v>8</v>
      </c>
      <c r="F79" s="1">
        <v>120</v>
      </c>
      <c r="H79" s="1">
        <v>802.18033988749903</v>
      </c>
      <c r="I79" t="s">
        <v>123</v>
      </c>
      <c r="J79" s="1">
        <v>802.18033988749903</v>
      </c>
      <c r="K79" t="s">
        <v>123</v>
      </c>
      <c r="L79" s="1">
        <v>26.991728188341</v>
      </c>
      <c r="M79" s="1">
        <v>1</v>
      </c>
      <c r="N79" s="1">
        <v>2</v>
      </c>
      <c r="O79" s="1">
        <v>3</v>
      </c>
      <c r="P79" s="1">
        <v>26.991728188341</v>
      </c>
      <c r="Q79" s="1">
        <v>1</v>
      </c>
      <c r="R79" s="1">
        <v>2</v>
      </c>
      <c r="S79" s="1">
        <v>3</v>
      </c>
      <c r="T79" t="s">
        <v>35</v>
      </c>
      <c r="U79" s="1">
        <v>0.5</v>
      </c>
      <c r="V79" s="1">
        <v>31.991728188341</v>
      </c>
      <c r="W79" s="1">
        <v>63.983456376682</v>
      </c>
      <c r="X79" s="1">
        <v>14.495864094170001</v>
      </c>
      <c r="Y79" s="1">
        <v>0</v>
      </c>
      <c r="Z79" s="1">
        <v>31.991728188341</v>
      </c>
      <c r="AA79" s="1">
        <v>63.983456376682</v>
      </c>
      <c r="AB79" s="1">
        <v>14.495864094170001</v>
      </c>
      <c r="AC79" s="1">
        <v>0</v>
      </c>
      <c r="AD79" t="s">
        <v>54</v>
      </c>
    </row>
    <row r="80" spans="1:30" x14ac:dyDescent="0.2">
      <c r="B80" t="s">
        <v>124</v>
      </c>
      <c r="C80">
        <f t="shared" si="1"/>
        <v>1.5</v>
      </c>
      <c r="D80" t="s">
        <v>121</v>
      </c>
      <c r="E80" s="1">
        <v>4</v>
      </c>
      <c r="F80" s="1">
        <v>60</v>
      </c>
      <c r="H80" s="1">
        <v>1139.2488094968101</v>
      </c>
      <c r="I80" t="s">
        <v>125</v>
      </c>
      <c r="L80" s="1">
        <v>38.194453979393998</v>
      </c>
      <c r="M80" s="1">
        <v>0</v>
      </c>
      <c r="N80" s="1">
        <v>11</v>
      </c>
      <c r="O80" s="1">
        <v>3.2727272727269998</v>
      </c>
      <c r="T80" t="s">
        <v>35</v>
      </c>
      <c r="U80" s="1">
        <v>1.5</v>
      </c>
      <c r="V80" s="1">
        <v>43.194453979393998</v>
      </c>
      <c r="W80" s="1">
        <v>475.13899377333399</v>
      </c>
      <c r="X80" s="1">
        <v>7.3913020228589996</v>
      </c>
      <c r="Y80" s="1">
        <v>0</v>
      </c>
      <c r="AD80" t="s">
        <v>54</v>
      </c>
    </row>
    <row r="81" spans="1:30" x14ac:dyDescent="0.2">
      <c r="B81" t="s">
        <v>124</v>
      </c>
      <c r="C81">
        <f t="shared" si="1"/>
        <v>1.5</v>
      </c>
      <c r="D81" t="s">
        <v>121</v>
      </c>
      <c r="E81" s="1">
        <v>4</v>
      </c>
      <c r="F81" s="1">
        <v>90</v>
      </c>
      <c r="H81" s="1">
        <v>1139.2488094968101</v>
      </c>
      <c r="I81" t="s">
        <v>125</v>
      </c>
      <c r="J81" s="1">
        <v>1259.75883680628</v>
      </c>
      <c r="K81" t="s">
        <v>126</v>
      </c>
      <c r="L81" s="1">
        <v>38.194453979393998</v>
      </c>
      <c r="M81" s="1">
        <v>0</v>
      </c>
      <c r="N81" s="1">
        <v>11</v>
      </c>
      <c r="O81" s="1">
        <v>3.2727272727269998</v>
      </c>
      <c r="P81" s="1">
        <v>52.960285599636002</v>
      </c>
      <c r="Q81" s="1">
        <v>1</v>
      </c>
      <c r="R81" s="1">
        <v>6</v>
      </c>
      <c r="S81" s="1">
        <v>2.833333333333</v>
      </c>
      <c r="T81" t="s">
        <v>35</v>
      </c>
      <c r="U81" s="1">
        <v>1.5</v>
      </c>
      <c r="V81" s="1">
        <v>43.194453979393998</v>
      </c>
      <c r="W81" s="1">
        <v>475.13899377333399</v>
      </c>
      <c r="X81" s="1">
        <v>7.3913020228589996</v>
      </c>
      <c r="Y81" s="1">
        <v>0</v>
      </c>
      <c r="Z81" s="1">
        <v>57.960285599636002</v>
      </c>
      <c r="AA81" s="1">
        <v>347.76171359781603</v>
      </c>
      <c r="AB81" s="1">
        <v>2.1679410505160002</v>
      </c>
      <c r="AC81" s="1">
        <v>0</v>
      </c>
      <c r="AD81" t="s">
        <v>54</v>
      </c>
    </row>
    <row r="82" spans="1:30" x14ac:dyDescent="0.2">
      <c r="B82" t="s">
        <v>124</v>
      </c>
      <c r="C82">
        <f t="shared" si="1"/>
        <v>1.5</v>
      </c>
      <c r="D82" t="s">
        <v>121</v>
      </c>
      <c r="E82" s="1">
        <v>4</v>
      </c>
      <c r="F82" s="1">
        <v>120</v>
      </c>
      <c r="H82" s="1">
        <v>1139.2488094968101</v>
      </c>
      <c r="I82" t="s">
        <v>125</v>
      </c>
      <c r="J82" s="1">
        <v>1259.75883680628</v>
      </c>
      <c r="K82" t="s">
        <v>126</v>
      </c>
      <c r="L82" s="1">
        <v>38.194453979393998</v>
      </c>
      <c r="M82" s="1">
        <v>0</v>
      </c>
      <c r="N82" s="1">
        <v>11</v>
      </c>
      <c r="O82" s="1">
        <v>3.2727272727269998</v>
      </c>
      <c r="P82" s="1">
        <v>52.960285599636002</v>
      </c>
      <c r="Q82" s="1">
        <v>1</v>
      </c>
      <c r="R82" s="1">
        <v>6</v>
      </c>
      <c r="S82" s="1">
        <v>2.833333333333</v>
      </c>
      <c r="T82" t="s">
        <v>35</v>
      </c>
      <c r="U82" s="1">
        <v>1.5</v>
      </c>
      <c r="V82" s="1">
        <v>43.194453979393998</v>
      </c>
      <c r="W82" s="1">
        <v>475.13899377333399</v>
      </c>
      <c r="X82" s="1">
        <v>7.3913020228589996</v>
      </c>
      <c r="Y82" s="1">
        <v>0</v>
      </c>
      <c r="Z82" s="1">
        <v>57.960285599636002</v>
      </c>
      <c r="AA82" s="1">
        <v>347.76171359781603</v>
      </c>
      <c r="AB82" s="1">
        <v>2.1679410505160002</v>
      </c>
      <c r="AC82" s="1">
        <v>0</v>
      </c>
      <c r="AD82" t="s">
        <v>54</v>
      </c>
    </row>
    <row r="83" spans="1:30" x14ac:dyDescent="0.2">
      <c r="B83" t="s">
        <v>124</v>
      </c>
      <c r="C83">
        <f t="shared" si="1"/>
        <v>1.5</v>
      </c>
      <c r="D83" t="s">
        <v>121</v>
      </c>
      <c r="E83" s="1">
        <v>8</v>
      </c>
      <c r="F83" s="1">
        <v>60</v>
      </c>
      <c r="H83" s="1">
        <v>1139.2488094968101</v>
      </c>
      <c r="I83" t="s">
        <v>125</v>
      </c>
      <c r="L83" s="1">
        <v>38.194453979393998</v>
      </c>
      <c r="M83" s="1">
        <v>0</v>
      </c>
      <c r="N83" s="1">
        <v>11</v>
      </c>
      <c r="O83" s="1">
        <v>3.2727272727269998</v>
      </c>
      <c r="T83" t="s">
        <v>35</v>
      </c>
      <c r="U83" s="1">
        <v>1.5</v>
      </c>
      <c r="V83" s="1">
        <v>43.194453979393998</v>
      </c>
      <c r="W83" s="1">
        <v>475.13899377333399</v>
      </c>
      <c r="X83" s="1">
        <v>7.3913020228589996</v>
      </c>
      <c r="Y83" s="1">
        <v>0</v>
      </c>
      <c r="AD83" t="s">
        <v>54</v>
      </c>
    </row>
    <row r="84" spans="1:30" x14ac:dyDescent="0.2">
      <c r="A84" s="1">
        <v>83</v>
      </c>
      <c r="B84" t="s">
        <v>124</v>
      </c>
      <c r="C84">
        <f t="shared" si="1"/>
        <v>1.5</v>
      </c>
      <c r="D84" t="s">
        <v>121</v>
      </c>
      <c r="E84" s="1">
        <v>8</v>
      </c>
      <c r="F84" s="1">
        <v>90</v>
      </c>
      <c r="G84" s="1">
        <v>1</v>
      </c>
      <c r="H84" s="1">
        <v>1113</v>
      </c>
      <c r="I84" t="s">
        <v>127</v>
      </c>
      <c r="J84" s="1">
        <v>1113</v>
      </c>
      <c r="K84" t="s">
        <v>127</v>
      </c>
      <c r="L84" s="1">
        <v>53.012538509266001</v>
      </c>
      <c r="M84" s="1">
        <v>3</v>
      </c>
      <c r="N84" s="1">
        <v>10</v>
      </c>
      <c r="O84" s="1">
        <v>4.5</v>
      </c>
      <c r="P84" s="1">
        <v>53.012538509266001</v>
      </c>
      <c r="Q84" s="1">
        <v>3</v>
      </c>
      <c r="R84" s="1">
        <v>10</v>
      </c>
      <c r="S84" s="1">
        <v>4.5</v>
      </c>
      <c r="T84" t="s">
        <v>35</v>
      </c>
      <c r="U84" s="1">
        <v>1.5</v>
      </c>
      <c r="V84" s="1">
        <v>59.512538509266001</v>
      </c>
      <c r="W84" s="1">
        <v>595.12538509266005</v>
      </c>
      <c r="X84" s="1">
        <v>13.580778028263</v>
      </c>
      <c r="Y84" s="1">
        <v>0.88178261813600001</v>
      </c>
      <c r="Z84" s="1">
        <v>59.512538509266001</v>
      </c>
      <c r="AA84" s="1">
        <v>595.12538509266005</v>
      </c>
      <c r="AB84" s="1">
        <v>13.580778028263</v>
      </c>
      <c r="AC84" s="1">
        <v>0.88178261813600001</v>
      </c>
      <c r="AD84" t="s">
        <v>36</v>
      </c>
    </row>
    <row r="85" spans="1:30" x14ac:dyDescent="0.2">
      <c r="A85" s="1">
        <v>83</v>
      </c>
      <c r="B85" t="s">
        <v>124</v>
      </c>
      <c r="C85">
        <f t="shared" si="1"/>
        <v>1.5</v>
      </c>
      <c r="D85" t="s">
        <v>121</v>
      </c>
      <c r="E85" s="1">
        <v>8</v>
      </c>
      <c r="F85" s="1">
        <v>120</v>
      </c>
      <c r="G85" s="1">
        <v>1</v>
      </c>
      <c r="H85" s="1">
        <v>1113</v>
      </c>
      <c r="I85" t="s">
        <v>127</v>
      </c>
      <c r="J85" s="1">
        <v>1113</v>
      </c>
      <c r="K85" t="s">
        <v>127</v>
      </c>
      <c r="L85" s="1">
        <v>53.012538509266001</v>
      </c>
      <c r="M85" s="1">
        <v>3</v>
      </c>
      <c r="N85" s="1">
        <v>10</v>
      </c>
      <c r="O85" s="1">
        <v>4.5</v>
      </c>
      <c r="P85" s="1">
        <v>53.012538509266001</v>
      </c>
      <c r="Q85" s="1">
        <v>3</v>
      </c>
      <c r="R85" s="1">
        <v>10</v>
      </c>
      <c r="S85" s="1">
        <v>4.5</v>
      </c>
      <c r="T85" t="s">
        <v>35</v>
      </c>
      <c r="U85" s="1">
        <v>1.5</v>
      </c>
      <c r="V85" s="1">
        <v>59.512538509266001</v>
      </c>
      <c r="W85" s="1">
        <v>595.12538509266005</v>
      </c>
      <c r="X85" s="1">
        <v>13.580778028263</v>
      </c>
      <c r="Y85" s="1">
        <v>0.88178261813600001</v>
      </c>
      <c r="Z85" s="1">
        <v>59.512538509266001</v>
      </c>
      <c r="AA85" s="1">
        <v>595.12538509266005</v>
      </c>
      <c r="AB85" s="1">
        <v>13.580778028263</v>
      </c>
      <c r="AC85" s="1">
        <v>0.88178261813600001</v>
      </c>
      <c r="AD85" t="s">
        <v>36</v>
      </c>
    </row>
    <row r="86" spans="1:30" x14ac:dyDescent="0.2">
      <c r="A86" s="1">
        <v>85</v>
      </c>
      <c r="B86" t="s">
        <v>128</v>
      </c>
      <c r="C86">
        <f t="shared" si="1"/>
        <v>1</v>
      </c>
      <c r="D86" t="s">
        <v>121</v>
      </c>
      <c r="E86" s="1">
        <v>4</v>
      </c>
      <c r="F86" s="1">
        <v>60</v>
      </c>
      <c r="G86" s="1">
        <v>1</v>
      </c>
      <c r="H86" s="1">
        <v>1100.4642491965701</v>
      </c>
      <c r="I86" t="s">
        <v>129</v>
      </c>
      <c r="J86" s="1">
        <v>1117</v>
      </c>
      <c r="K86" t="s">
        <v>130</v>
      </c>
      <c r="L86" s="1">
        <v>37.202891370090001</v>
      </c>
      <c r="M86" s="1">
        <v>0</v>
      </c>
      <c r="N86" s="1">
        <v>8</v>
      </c>
      <c r="O86" s="1">
        <v>3</v>
      </c>
      <c r="P86" s="1">
        <v>0</v>
      </c>
      <c r="Q86" s="1">
        <v>1</v>
      </c>
      <c r="R86" s="1">
        <v>4</v>
      </c>
      <c r="S86" s="1">
        <v>1.5</v>
      </c>
      <c r="T86" t="s">
        <v>35</v>
      </c>
      <c r="U86" s="1">
        <v>1</v>
      </c>
      <c r="V86" s="1">
        <v>42.202891370090001</v>
      </c>
      <c r="W86" s="1">
        <v>337.62313096072</v>
      </c>
      <c r="X86" s="1">
        <v>1.8080311495720001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t="s">
        <v>36</v>
      </c>
    </row>
    <row r="87" spans="1:30" x14ac:dyDescent="0.2">
      <c r="A87" s="1">
        <v>86</v>
      </c>
      <c r="B87" t="s">
        <v>128</v>
      </c>
      <c r="C87">
        <f t="shared" si="1"/>
        <v>1</v>
      </c>
      <c r="D87" t="s">
        <v>121</v>
      </c>
      <c r="E87" s="1">
        <v>4</v>
      </c>
      <c r="F87" s="1">
        <v>90</v>
      </c>
      <c r="G87" s="1">
        <v>1</v>
      </c>
      <c r="H87" s="1">
        <v>1072.4642491965701</v>
      </c>
      <c r="I87" t="s">
        <v>131</v>
      </c>
      <c r="J87" s="1">
        <v>1072.4642491965701</v>
      </c>
      <c r="K87" t="s">
        <v>131</v>
      </c>
      <c r="L87" s="1">
        <v>46.127843178698001</v>
      </c>
      <c r="M87" s="1">
        <v>1</v>
      </c>
      <c r="N87" s="1">
        <v>10</v>
      </c>
      <c r="O87" s="1">
        <v>3.1</v>
      </c>
      <c r="P87" s="1">
        <v>46.127843178698001</v>
      </c>
      <c r="Q87" s="1">
        <v>1</v>
      </c>
      <c r="R87" s="1">
        <v>10</v>
      </c>
      <c r="S87" s="1">
        <v>3.1</v>
      </c>
      <c r="T87" t="s">
        <v>35</v>
      </c>
      <c r="U87" s="1">
        <v>1</v>
      </c>
      <c r="V87" s="1">
        <v>51.127843178698001</v>
      </c>
      <c r="W87" s="1">
        <v>460.15058860828202</v>
      </c>
      <c r="X87" s="1">
        <v>1.2738054662860001</v>
      </c>
      <c r="Y87" s="1">
        <v>0</v>
      </c>
      <c r="Z87" s="1">
        <v>51.127843178698001</v>
      </c>
      <c r="AA87" s="1">
        <v>460.15058860828202</v>
      </c>
      <c r="AB87" s="1">
        <v>1.2738054662860001</v>
      </c>
      <c r="AC87" s="1">
        <v>0</v>
      </c>
      <c r="AD87" t="s">
        <v>36</v>
      </c>
    </row>
    <row r="88" spans="1:30" x14ac:dyDescent="0.2">
      <c r="A88" s="1">
        <v>87</v>
      </c>
      <c r="B88" t="s">
        <v>128</v>
      </c>
      <c r="C88">
        <f t="shared" si="1"/>
        <v>1</v>
      </c>
      <c r="D88" t="s">
        <v>121</v>
      </c>
      <c r="E88" s="1">
        <v>4</v>
      </c>
      <c r="F88" s="1">
        <v>120</v>
      </c>
      <c r="G88" s="1">
        <v>3</v>
      </c>
      <c r="H88" s="1">
        <v>1032.2358526421301</v>
      </c>
      <c r="I88" t="s">
        <v>132</v>
      </c>
      <c r="J88" s="1">
        <v>1032.2358526421301</v>
      </c>
      <c r="K88" t="s">
        <v>132</v>
      </c>
      <c r="L88" s="1">
        <v>54.419837748828002</v>
      </c>
      <c r="M88" s="1">
        <v>1</v>
      </c>
      <c r="N88" s="1">
        <v>12</v>
      </c>
      <c r="O88" s="1">
        <v>2.583333333333</v>
      </c>
      <c r="P88" s="1">
        <v>54.419837748828002</v>
      </c>
      <c r="Q88" s="1">
        <v>1</v>
      </c>
      <c r="R88" s="1">
        <v>12</v>
      </c>
      <c r="S88" s="1">
        <v>2.583333333333</v>
      </c>
      <c r="T88" t="s">
        <v>35</v>
      </c>
      <c r="U88" s="1">
        <v>1</v>
      </c>
      <c r="V88" s="1">
        <v>59.419837748828002</v>
      </c>
      <c r="W88" s="1">
        <v>594.19837748828002</v>
      </c>
      <c r="X88" s="1">
        <v>3.0235852642140002</v>
      </c>
      <c r="Y88" s="1">
        <v>0</v>
      </c>
      <c r="Z88" s="1">
        <v>59.419837748828002</v>
      </c>
      <c r="AA88" s="1">
        <v>594.19837748828002</v>
      </c>
      <c r="AB88" s="1">
        <v>3.0235852642140002</v>
      </c>
      <c r="AC88" s="1">
        <v>0</v>
      </c>
      <c r="AD88" t="s">
        <v>36</v>
      </c>
    </row>
    <row r="89" spans="1:30" x14ac:dyDescent="0.2">
      <c r="B89" t="s">
        <v>128</v>
      </c>
      <c r="C89">
        <f t="shared" si="1"/>
        <v>1</v>
      </c>
      <c r="D89" t="s">
        <v>121</v>
      </c>
      <c r="E89" s="1">
        <v>8</v>
      </c>
      <c r="F89" s="1">
        <v>60</v>
      </c>
      <c r="H89" s="1">
        <v>984.36067977499795</v>
      </c>
      <c r="I89" t="s">
        <v>133</v>
      </c>
      <c r="J89" s="1">
        <v>984.36067977499795</v>
      </c>
      <c r="K89" t="s">
        <v>133</v>
      </c>
      <c r="L89" s="1">
        <v>36.174203206625002</v>
      </c>
      <c r="M89" s="1">
        <v>1</v>
      </c>
      <c r="N89" s="1">
        <v>8</v>
      </c>
      <c r="O89" s="1">
        <v>5</v>
      </c>
      <c r="P89" s="1">
        <v>36.174203206625002</v>
      </c>
      <c r="Q89" s="1">
        <v>1</v>
      </c>
      <c r="R89" s="1">
        <v>8</v>
      </c>
      <c r="S89" s="1">
        <v>5</v>
      </c>
      <c r="T89" t="s">
        <v>35</v>
      </c>
      <c r="U89" s="1">
        <v>1</v>
      </c>
      <c r="V89" s="1">
        <v>41.174203206625002</v>
      </c>
      <c r="W89" s="1">
        <v>329.39362565300002</v>
      </c>
      <c r="X89" s="1">
        <v>4.9511861589760002</v>
      </c>
      <c r="Y89" s="1">
        <v>0</v>
      </c>
      <c r="Z89" s="1">
        <v>41.174203206625002</v>
      </c>
      <c r="AA89" s="1">
        <v>329.39362565300002</v>
      </c>
      <c r="AB89" s="1">
        <v>4.9511861589760002</v>
      </c>
      <c r="AC89" s="1">
        <v>0</v>
      </c>
      <c r="AD89" t="s">
        <v>54</v>
      </c>
    </row>
    <row r="90" spans="1:30" x14ac:dyDescent="0.2">
      <c r="A90" s="1">
        <v>89</v>
      </c>
      <c r="B90" t="s">
        <v>128</v>
      </c>
      <c r="C90">
        <f t="shared" si="1"/>
        <v>1</v>
      </c>
      <c r="D90" t="s">
        <v>121</v>
      </c>
      <c r="E90" s="1">
        <v>8</v>
      </c>
      <c r="F90" s="1">
        <v>90</v>
      </c>
      <c r="G90" s="1">
        <v>1</v>
      </c>
      <c r="H90" s="1">
        <v>984.36067977499795</v>
      </c>
      <c r="I90" t="s">
        <v>133</v>
      </c>
      <c r="J90" s="1">
        <v>1029.9258240356701</v>
      </c>
      <c r="K90" t="s">
        <v>134</v>
      </c>
      <c r="L90" s="1">
        <v>36.174203206625002</v>
      </c>
      <c r="M90" s="1">
        <v>1</v>
      </c>
      <c r="N90" s="1">
        <v>8</v>
      </c>
      <c r="O90" s="1">
        <v>5</v>
      </c>
      <c r="P90" s="1">
        <v>60.938384358973998</v>
      </c>
      <c r="Q90" s="1">
        <v>4</v>
      </c>
      <c r="R90" s="1">
        <v>9</v>
      </c>
      <c r="S90" s="1">
        <v>4.333333333333</v>
      </c>
      <c r="T90" t="s">
        <v>35</v>
      </c>
      <c r="U90" s="1">
        <v>1</v>
      </c>
      <c r="V90" s="1">
        <v>41.174203206625002</v>
      </c>
      <c r="W90" s="1">
        <v>329.39362565300002</v>
      </c>
      <c r="X90" s="1">
        <v>4.9511861589760002</v>
      </c>
      <c r="Y90" s="1">
        <v>0</v>
      </c>
      <c r="Z90" s="1">
        <v>67.605051025641004</v>
      </c>
      <c r="AA90" s="1">
        <v>608.44545923076896</v>
      </c>
      <c r="AB90" s="1">
        <v>2.3464475206170001</v>
      </c>
      <c r="AC90" s="1">
        <v>1.6401726239750001</v>
      </c>
      <c r="AD90" t="s">
        <v>36</v>
      </c>
    </row>
    <row r="91" spans="1:30" x14ac:dyDescent="0.2">
      <c r="A91" s="1">
        <v>90</v>
      </c>
      <c r="B91" t="s">
        <v>128</v>
      </c>
      <c r="C91">
        <f t="shared" si="1"/>
        <v>1</v>
      </c>
      <c r="D91" t="s">
        <v>121</v>
      </c>
      <c r="E91" s="1">
        <v>8</v>
      </c>
      <c r="F91" s="1">
        <v>120</v>
      </c>
      <c r="G91" s="1">
        <v>1</v>
      </c>
      <c r="H91" s="1">
        <v>984.36067977499795</v>
      </c>
      <c r="I91" t="s">
        <v>133</v>
      </c>
      <c r="J91" s="1">
        <v>1015.54101966249</v>
      </c>
      <c r="K91" t="s">
        <v>135</v>
      </c>
      <c r="L91" s="1">
        <v>36.174203206625002</v>
      </c>
      <c r="M91" s="1">
        <v>1</v>
      </c>
      <c r="N91" s="1">
        <v>8</v>
      </c>
      <c r="O91" s="1">
        <v>5</v>
      </c>
      <c r="P91" s="1">
        <v>74.383654324828996</v>
      </c>
      <c r="Q91" s="1">
        <v>6</v>
      </c>
      <c r="R91" s="1">
        <v>13</v>
      </c>
      <c r="S91" s="1">
        <v>3.1538461538460001</v>
      </c>
      <c r="T91" t="s">
        <v>35</v>
      </c>
      <c r="U91" s="1">
        <v>1</v>
      </c>
      <c r="V91" s="1">
        <v>41.174203206625002</v>
      </c>
      <c r="W91" s="1">
        <v>329.39362565300002</v>
      </c>
      <c r="X91" s="1">
        <v>4.9511861589760002</v>
      </c>
      <c r="Y91" s="1">
        <v>0</v>
      </c>
      <c r="Z91" s="1">
        <v>81.466987658161997</v>
      </c>
      <c r="AA91" s="1">
        <v>977.60385189794397</v>
      </c>
      <c r="AB91" s="1">
        <v>5.1241056295479996</v>
      </c>
      <c r="AC91" s="1">
        <v>1.9574422887309999</v>
      </c>
      <c r="AD91" t="s">
        <v>36</v>
      </c>
    </row>
    <row r="92" spans="1:30" x14ac:dyDescent="0.2">
      <c r="A92" s="1">
        <v>91</v>
      </c>
      <c r="B92" t="s">
        <v>136</v>
      </c>
      <c r="C92">
        <f t="shared" si="1"/>
        <v>2.5</v>
      </c>
      <c r="D92" t="s">
        <v>121</v>
      </c>
      <c r="E92" s="1">
        <v>4</v>
      </c>
      <c r="F92" s="1">
        <v>60</v>
      </c>
      <c r="G92" s="1">
        <v>1</v>
      </c>
      <c r="H92" s="1">
        <v>1389.75883680628</v>
      </c>
      <c r="I92" t="s">
        <v>137</v>
      </c>
      <c r="L92" s="1">
        <v>47.179977896765003</v>
      </c>
      <c r="M92" s="1">
        <v>0</v>
      </c>
      <c r="N92" s="1">
        <v>8</v>
      </c>
      <c r="O92" s="1">
        <v>2.75</v>
      </c>
      <c r="T92" t="s">
        <v>35</v>
      </c>
      <c r="U92" s="1">
        <v>2.5</v>
      </c>
      <c r="V92" s="1">
        <v>52.179977896765003</v>
      </c>
      <c r="W92" s="1">
        <v>417.43982317412002</v>
      </c>
      <c r="X92" s="1">
        <v>15.973324147950001</v>
      </c>
      <c r="Y92" s="1">
        <v>0</v>
      </c>
      <c r="AD92" t="s">
        <v>36</v>
      </c>
    </row>
    <row r="93" spans="1:30" x14ac:dyDescent="0.2">
      <c r="A93" s="1">
        <v>92</v>
      </c>
      <c r="B93" t="s">
        <v>136</v>
      </c>
      <c r="C93">
        <f t="shared" si="1"/>
        <v>2.5</v>
      </c>
      <c r="D93" t="s">
        <v>121</v>
      </c>
      <c r="E93" s="1">
        <v>4</v>
      </c>
      <c r="F93" s="1">
        <v>90</v>
      </c>
      <c r="G93" s="1">
        <v>1</v>
      </c>
      <c r="H93" s="1">
        <v>1389.75883680628</v>
      </c>
      <c r="I93" t="s">
        <v>137</v>
      </c>
      <c r="J93" s="1">
        <v>1411.4950975679601</v>
      </c>
      <c r="K93" t="s">
        <v>138</v>
      </c>
      <c r="L93" s="1">
        <v>47.179977896765003</v>
      </c>
      <c r="M93" s="1">
        <v>0</v>
      </c>
      <c r="N93" s="1">
        <v>8</v>
      </c>
      <c r="O93" s="1">
        <v>2.75</v>
      </c>
      <c r="P93" s="1">
        <v>63.659044116166001</v>
      </c>
      <c r="Q93" s="1">
        <v>3</v>
      </c>
      <c r="R93" s="1">
        <v>9</v>
      </c>
      <c r="S93" s="1">
        <v>3</v>
      </c>
      <c r="T93" t="s">
        <v>35</v>
      </c>
      <c r="U93" s="1">
        <v>2.5</v>
      </c>
      <c r="V93" s="1">
        <v>52.179977896765003</v>
      </c>
      <c r="W93" s="1">
        <v>417.43982317412002</v>
      </c>
      <c r="X93" s="1">
        <v>15.973324147950001</v>
      </c>
      <c r="Y93" s="1">
        <v>0</v>
      </c>
      <c r="Z93" s="1">
        <v>68.659044116166001</v>
      </c>
      <c r="AA93" s="1">
        <v>617.93139704549401</v>
      </c>
      <c r="AB93" s="1">
        <v>0.61056639643999999</v>
      </c>
      <c r="AC93" s="1">
        <v>0</v>
      </c>
      <c r="AD93" t="s">
        <v>36</v>
      </c>
    </row>
    <row r="94" spans="1:30" x14ac:dyDescent="0.2">
      <c r="A94" s="1">
        <v>92</v>
      </c>
      <c r="B94" t="s">
        <v>136</v>
      </c>
      <c r="C94">
        <f t="shared" si="1"/>
        <v>2.5</v>
      </c>
      <c r="D94" t="s">
        <v>121</v>
      </c>
      <c r="E94" s="1">
        <v>4</v>
      </c>
      <c r="F94" s="1">
        <v>120</v>
      </c>
      <c r="G94" s="1">
        <v>1</v>
      </c>
      <c r="H94" s="1">
        <v>1389.75883680628</v>
      </c>
      <c r="I94" t="s">
        <v>137</v>
      </c>
      <c r="J94" s="1">
        <v>1411.4950975679601</v>
      </c>
      <c r="K94" t="s">
        <v>138</v>
      </c>
      <c r="L94" s="1">
        <v>47.179977896765003</v>
      </c>
      <c r="M94" s="1">
        <v>0</v>
      </c>
      <c r="N94" s="1">
        <v>8</v>
      </c>
      <c r="O94" s="1">
        <v>2.75</v>
      </c>
      <c r="P94" s="1">
        <v>63.659044116166001</v>
      </c>
      <c r="Q94" s="1">
        <v>3</v>
      </c>
      <c r="R94" s="1">
        <v>9</v>
      </c>
      <c r="S94" s="1">
        <v>3</v>
      </c>
      <c r="T94" t="s">
        <v>35</v>
      </c>
      <c r="U94" s="1">
        <v>2.5</v>
      </c>
      <c r="V94" s="1">
        <v>52.179977896765003</v>
      </c>
      <c r="W94" s="1">
        <v>417.43982317412002</v>
      </c>
      <c r="X94" s="1">
        <v>15.973324147950001</v>
      </c>
      <c r="Y94" s="1">
        <v>0</v>
      </c>
      <c r="Z94" s="1">
        <v>68.659044116166001</v>
      </c>
      <c r="AA94" s="1">
        <v>617.93139704549401</v>
      </c>
      <c r="AB94" s="1">
        <v>0.61056639643999999</v>
      </c>
      <c r="AC94" s="1">
        <v>0</v>
      </c>
      <c r="AD94" t="s">
        <v>36</v>
      </c>
    </row>
    <row r="95" spans="1:30" x14ac:dyDescent="0.2">
      <c r="B95" t="s">
        <v>136</v>
      </c>
      <c r="C95">
        <f t="shared" si="1"/>
        <v>2.5</v>
      </c>
      <c r="D95" t="s">
        <v>121</v>
      </c>
      <c r="E95" s="1">
        <v>8</v>
      </c>
      <c r="F95" s="1">
        <v>60</v>
      </c>
      <c r="H95" s="1">
        <v>1311.8617393793199</v>
      </c>
      <c r="I95" t="s">
        <v>139</v>
      </c>
      <c r="J95" s="1">
        <v>1311.8617393793199</v>
      </c>
      <c r="K95" t="s">
        <v>139</v>
      </c>
      <c r="L95" s="1">
        <v>46.981714186136998</v>
      </c>
      <c r="M95" s="1">
        <v>2</v>
      </c>
      <c r="N95" s="1">
        <v>9</v>
      </c>
      <c r="O95" s="1">
        <v>4.5555555555560003</v>
      </c>
      <c r="P95" s="1">
        <v>46.981714186136998</v>
      </c>
      <c r="Q95" s="1">
        <v>2</v>
      </c>
      <c r="R95" s="1">
        <v>9</v>
      </c>
      <c r="S95" s="1">
        <v>4.5555555555560003</v>
      </c>
      <c r="T95" t="s">
        <v>35</v>
      </c>
      <c r="U95" s="1">
        <v>2.5</v>
      </c>
      <c r="V95" s="1">
        <v>51.981714186136998</v>
      </c>
      <c r="W95" s="1">
        <v>467.83542767523301</v>
      </c>
      <c r="X95" s="1">
        <v>31.536922458645002</v>
      </c>
      <c r="Y95" s="1">
        <v>0</v>
      </c>
      <c r="Z95" s="1">
        <v>51.981714186136998</v>
      </c>
      <c r="AA95" s="1">
        <v>467.83542767523301</v>
      </c>
      <c r="AB95" s="1">
        <v>31.536922458645002</v>
      </c>
      <c r="AC95" s="1">
        <v>0</v>
      </c>
      <c r="AD95" t="s">
        <v>54</v>
      </c>
    </row>
    <row r="96" spans="1:30" x14ac:dyDescent="0.2">
      <c r="A96" s="1">
        <v>95</v>
      </c>
      <c r="B96" t="s">
        <v>136</v>
      </c>
      <c r="C96">
        <f t="shared" si="1"/>
        <v>2.5</v>
      </c>
      <c r="D96" t="s">
        <v>121</v>
      </c>
      <c r="E96" s="1">
        <v>8</v>
      </c>
      <c r="F96" s="1">
        <v>90</v>
      </c>
      <c r="G96" s="1">
        <v>1</v>
      </c>
      <c r="H96" s="1">
        <v>1311.8617393793199</v>
      </c>
      <c r="I96" t="s">
        <v>139</v>
      </c>
      <c r="J96" s="1">
        <v>1420.0365690573601</v>
      </c>
      <c r="K96" t="s">
        <v>140</v>
      </c>
      <c r="L96" s="1">
        <v>46.981714186136998</v>
      </c>
      <c r="M96" s="1">
        <v>2</v>
      </c>
      <c r="N96" s="1">
        <v>9</v>
      </c>
      <c r="O96" s="1">
        <v>4.5555555555560003</v>
      </c>
      <c r="P96" s="1">
        <v>63.946186918332998</v>
      </c>
      <c r="Q96" s="1">
        <v>1</v>
      </c>
      <c r="R96" s="1">
        <v>8</v>
      </c>
      <c r="S96" s="1">
        <v>3.375</v>
      </c>
      <c r="T96" t="s">
        <v>35</v>
      </c>
      <c r="U96" s="1">
        <v>2.5</v>
      </c>
      <c r="V96" s="1">
        <v>51.981714186136998</v>
      </c>
      <c r="W96" s="1">
        <v>467.83542767523301</v>
      </c>
      <c r="X96" s="1">
        <v>31.536922458645002</v>
      </c>
      <c r="Y96" s="1">
        <v>0</v>
      </c>
      <c r="Z96" s="1">
        <v>68.946186918332998</v>
      </c>
      <c r="AA96" s="1">
        <v>551.56949534666398</v>
      </c>
      <c r="AB96" s="1">
        <v>19.129571132171002</v>
      </c>
      <c r="AC96" s="1">
        <v>0</v>
      </c>
      <c r="AD96" t="s">
        <v>36</v>
      </c>
    </row>
    <row r="97" spans="1:30" x14ac:dyDescent="0.2">
      <c r="B97" t="s">
        <v>136</v>
      </c>
      <c r="C97">
        <f t="shared" si="1"/>
        <v>2.5</v>
      </c>
      <c r="D97" t="s">
        <v>121</v>
      </c>
      <c r="E97" s="1">
        <v>8</v>
      </c>
      <c r="F97" s="1">
        <v>120</v>
      </c>
      <c r="H97" s="1">
        <v>1311.8617393793199</v>
      </c>
      <c r="I97" t="s">
        <v>139</v>
      </c>
      <c r="J97" s="1">
        <v>1489</v>
      </c>
      <c r="K97" t="s">
        <v>141</v>
      </c>
      <c r="L97" s="1">
        <v>46.981714186136998</v>
      </c>
      <c r="M97" s="1">
        <v>2</v>
      </c>
      <c r="N97" s="1">
        <v>9</v>
      </c>
      <c r="O97" s="1">
        <v>4.5555555555560003</v>
      </c>
      <c r="P97" s="1">
        <v>70.120409820654999</v>
      </c>
      <c r="Q97" s="1">
        <v>1</v>
      </c>
      <c r="R97" s="1">
        <v>4</v>
      </c>
      <c r="S97" s="1">
        <v>3.25</v>
      </c>
      <c r="T97" t="s">
        <v>35</v>
      </c>
      <c r="U97" s="1">
        <v>2.5</v>
      </c>
      <c r="V97" s="1">
        <v>51.981714186136998</v>
      </c>
      <c r="W97" s="1">
        <v>467.83542767523301</v>
      </c>
      <c r="X97" s="1">
        <v>31.536922458645002</v>
      </c>
      <c r="Y97" s="1">
        <v>0</v>
      </c>
      <c r="Z97" s="1">
        <v>75.120409820654999</v>
      </c>
      <c r="AA97" s="1">
        <v>300.48163928261999</v>
      </c>
      <c r="AB97" s="1">
        <v>0</v>
      </c>
      <c r="AC97" s="1">
        <v>0</v>
      </c>
      <c r="AD97" t="s">
        <v>54</v>
      </c>
    </row>
    <row r="98" spans="1:30" x14ac:dyDescent="0.2">
      <c r="A98" s="1">
        <v>97</v>
      </c>
      <c r="B98" t="s">
        <v>142</v>
      </c>
      <c r="C98">
        <f t="shared" si="1"/>
        <v>2</v>
      </c>
      <c r="D98" t="s">
        <v>121</v>
      </c>
      <c r="E98" s="1">
        <v>4</v>
      </c>
      <c r="F98" s="1">
        <v>60</v>
      </c>
      <c r="G98" s="1">
        <v>1</v>
      </c>
      <c r="H98" s="1">
        <v>1383</v>
      </c>
      <c r="I98" t="s">
        <v>143</v>
      </c>
      <c r="J98" s="1">
        <v>1383</v>
      </c>
      <c r="K98" t="s">
        <v>143</v>
      </c>
      <c r="L98" s="1">
        <v>44.580426368646002</v>
      </c>
      <c r="M98" s="1">
        <v>1</v>
      </c>
      <c r="N98" s="1">
        <v>6</v>
      </c>
      <c r="O98" s="1">
        <v>2.5</v>
      </c>
      <c r="P98" s="1">
        <v>44.580426368646002</v>
      </c>
      <c r="Q98" s="1">
        <v>1</v>
      </c>
      <c r="R98" s="1">
        <v>6</v>
      </c>
      <c r="S98" s="1">
        <v>2.5</v>
      </c>
      <c r="T98" t="s">
        <v>35</v>
      </c>
      <c r="U98" s="1">
        <v>2</v>
      </c>
      <c r="V98" s="1">
        <v>49.580426368646002</v>
      </c>
      <c r="W98" s="1">
        <v>297.48255821187598</v>
      </c>
      <c r="X98" s="1">
        <v>0</v>
      </c>
      <c r="Y98" s="1">
        <v>0</v>
      </c>
      <c r="Z98" s="1">
        <v>49.580426368646002</v>
      </c>
      <c r="AA98" s="1">
        <v>297.48255821187598</v>
      </c>
      <c r="AB98" s="1">
        <v>0</v>
      </c>
      <c r="AC98" s="1">
        <v>0</v>
      </c>
      <c r="AD98" t="s">
        <v>36</v>
      </c>
    </row>
    <row r="99" spans="1:30" x14ac:dyDescent="0.2">
      <c r="B99" t="s">
        <v>142</v>
      </c>
      <c r="C99">
        <f t="shared" si="1"/>
        <v>2</v>
      </c>
      <c r="D99" t="s">
        <v>121</v>
      </c>
      <c r="E99" s="1">
        <v>4</v>
      </c>
      <c r="F99" s="1">
        <v>90</v>
      </c>
      <c r="H99" s="1">
        <v>1369.2315462117199</v>
      </c>
      <c r="I99" t="s">
        <v>144</v>
      </c>
      <c r="J99" s="1">
        <v>1369.2315462117199</v>
      </c>
      <c r="K99" t="s">
        <v>144</v>
      </c>
      <c r="L99" s="1">
        <v>44.600559680267999</v>
      </c>
      <c r="M99" s="1">
        <v>2</v>
      </c>
      <c r="N99" s="1">
        <v>7</v>
      </c>
      <c r="O99" s="1">
        <v>2.8571428571430002</v>
      </c>
      <c r="P99" s="1">
        <v>44.600559680267999</v>
      </c>
      <c r="Q99" s="1">
        <v>2</v>
      </c>
      <c r="R99" s="1">
        <v>7</v>
      </c>
      <c r="S99" s="1">
        <v>2.8571428571430002</v>
      </c>
      <c r="T99" t="s">
        <v>35</v>
      </c>
      <c r="U99" s="1">
        <v>2</v>
      </c>
      <c r="V99" s="1">
        <v>49.600559680267999</v>
      </c>
      <c r="W99" s="1">
        <v>347.20391776187603</v>
      </c>
      <c r="X99" s="1">
        <v>10.165338606771</v>
      </c>
      <c r="Y99" s="1">
        <v>0</v>
      </c>
      <c r="Z99" s="1">
        <v>49.600559680267999</v>
      </c>
      <c r="AA99" s="1">
        <v>347.20391776187603</v>
      </c>
      <c r="AB99" s="1">
        <v>10.165338606771</v>
      </c>
      <c r="AC99" s="1">
        <v>0</v>
      </c>
      <c r="AD99" t="s">
        <v>54</v>
      </c>
    </row>
    <row r="100" spans="1:30" x14ac:dyDescent="0.2">
      <c r="B100" t="s">
        <v>142</v>
      </c>
      <c r="C100">
        <f t="shared" si="1"/>
        <v>2</v>
      </c>
      <c r="D100" t="s">
        <v>121</v>
      </c>
      <c r="E100" s="1">
        <v>4</v>
      </c>
      <c r="F100" s="1">
        <v>120</v>
      </c>
      <c r="H100" s="1">
        <v>1350.3606797749901</v>
      </c>
      <c r="I100" t="s">
        <v>145</v>
      </c>
      <c r="J100" s="1">
        <v>1350.3606797749901</v>
      </c>
      <c r="K100" t="s">
        <v>145</v>
      </c>
      <c r="L100" s="1">
        <v>61.407903893095003</v>
      </c>
      <c r="M100" s="1">
        <v>2</v>
      </c>
      <c r="N100" s="1">
        <v>7</v>
      </c>
      <c r="O100" s="1">
        <v>2.8571428571430002</v>
      </c>
      <c r="P100" s="1">
        <v>61.407903893095003</v>
      </c>
      <c r="Q100" s="1">
        <v>2</v>
      </c>
      <c r="R100" s="1">
        <v>7</v>
      </c>
      <c r="S100" s="1">
        <v>2.8571428571430002</v>
      </c>
      <c r="T100" t="s">
        <v>35</v>
      </c>
      <c r="U100" s="1">
        <v>2</v>
      </c>
      <c r="V100" s="1">
        <v>67.122189607379994</v>
      </c>
      <c r="W100" s="1">
        <v>469.85532725166001</v>
      </c>
      <c r="X100" s="1">
        <v>14.518470802649</v>
      </c>
      <c r="Y100" s="1">
        <v>0</v>
      </c>
      <c r="Z100" s="1">
        <v>67.122189607379994</v>
      </c>
      <c r="AA100" s="1">
        <v>469.85532725166001</v>
      </c>
      <c r="AB100" s="1">
        <v>14.518470802649</v>
      </c>
      <c r="AC100" s="1">
        <v>0</v>
      </c>
      <c r="AD100" t="s">
        <v>54</v>
      </c>
    </row>
    <row r="101" spans="1:30" x14ac:dyDescent="0.2">
      <c r="B101" t="s">
        <v>142</v>
      </c>
      <c r="C101">
        <f t="shared" si="1"/>
        <v>2</v>
      </c>
      <c r="D101" t="s">
        <v>121</v>
      </c>
      <c r="E101" s="1">
        <v>8</v>
      </c>
      <c r="F101" s="1">
        <v>60</v>
      </c>
      <c r="H101" s="1">
        <v>1317.1803398874899</v>
      </c>
      <c r="I101" t="s">
        <v>146</v>
      </c>
      <c r="J101" s="1">
        <v>1383</v>
      </c>
      <c r="K101" t="s">
        <v>143</v>
      </c>
      <c r="L101" s="1">
        <v>40.145598679773997</v>
      </c>
      <c r="M101" s="1">
        <v>0</v>
      </c>
      <c r="N101" s="1">
        <v>10</v>
      </c>
      <c r="O101" s="1">
        <v>3.9</v>
      </c>
      <c r="P101" s="1">
        <v>44.580426368646002</v>
      </c>
      <c r="Q101" s="1">
        <v>1</v>
      </c>
      <c r="R101" s="1">
        <v>6</v>
      </c>
      <c r="S101" s="1">
        <v>2.5</v>
      </c>
      <c r="T101" t="s">
        <v>35</v>
      </c>
      <c r="U101" s="1">
        <v>2</v>
      </c>
      <c r="V101" s="1">
        <v>45.145598679773997</v>
      </c>
      <c r="W101" s="1">
        <v>451.45598679774002</v>
      </c>
      <c r="X101" s="1">
        <v>2.193917669378</v>
      </c>
      <c r="Y101" s="1">
        <v>0</v>
      </c>
      <c r="Z101" s="1">
        <v>49.580426368646002</v>
      </c>
      <c r="AA101" s="1">
        <v>297.48255821187598</v>
      </c>
      <c r="AB101" s="1">
        <v>0</v>
      </c>
      <c r="AC101" s="1">
        <v>0</v>
      </c>
      <c r="AD101" t="s">
        <v>54</v>
      </c>
    </row>
    <row r="102" spans="1:30" x14ac:dyDescent="0.2">
      <c r="A102" s="1">
        <v>101</v>
      </c>
      <c r="B102" t="s">
        <v>142</v>
      </c>
      <c r="C102">
        <f t="shared" si="1"/>
        <v>2</v>
      </c>
      <c r="D102" t="s">
        <v>121</v>
      </c>
      <c r="E102" s="1">
        <v>8</v>
      </c>
      <c r="F102" s="1">
        <v>90</v>
      </c>
      <c r="G102" s="1">
        <v>1</v>
      </c>
      <c r="H102" s="1">
        <v>1317.1803398874899</v>
      </c>
      <c r="I102" t="s">
        <v>146</v>
      </c>
      <c r="J102" s="1">
        <v>1324.8904374382</v>
      </c>
      <c r="K102" t="s">
        <v>147</v>
      </c>
      <c r="L102" s="1">
        <v>40.145598679773997</v>
      </c>
      <c r="M102" s="1">
        <v>0</v>
      </c>
      <c r="N102" s="1">
        <v>10</v>
      </c>
      <c r="O102" s="1">
        <v>3.9</v>
      </c>
      <c r="P102" s="1">
        <v>59.426307009726997</v>
      </c>
      <c r="Q102" s="1">
        <v>1</v>
      </c>
      <c r="R102" s="1">
        <v>12</v>
      </c>
      <c r="S102" s="1">
        <v>3.083333333333</v>
      </c>
      <c r="T102" t="s">
        <v>35</v>
      </c>
      <c r="U102" s="1">
        <v>2</v>
      </c>
      <c r="V102" s="1">
        <v>45.145598679773997</v>
      </c>
      <c r="W102" s="1">
        <v>451.45598679774002</v>
      </c>
      <c r="X102" s="1">
        <v>2.193917669378</v>
      </c>
      <c r="Y102" s="1">
        <v>0</v>
      </c>
      <c r="Z102" s="1">
        <v>64.880852464271996</v>
      </c>
      <c r="AA102" s="1">
        <v>713.68937710699197</v>
      </c>
      <c r="AB102" s="1">
        <v>8.7905808212780006</v>
      </c>
      <c r="AC102" s="1">
        <v>1.034069018586</v>
      </c>
      <c r="AD102" t="s">
        <v>36</v>
      </c>
    </row>
    <row r="103" spans="1:30" x14ac:dyDescent="0.2">
      <c r="B103" t="s">
        <v>142</v>
      </c>
      <c r="C103">
        <f t="shared" si="1"/>
        <v>2</v>
      </c>
      <c r="D103" t="s">
        <v>121</v>
      </c>
      <c r="E103" s="1">
        <v>8</v>
      </c>
      <c r="F103" s="1">
        <v>120</v>
      </c>
      <c r="H103" s="1">
        <v>1297.6155281280801</v>
      </c>
      <c r="I103" t="s">
        <v>148</v>
      </c>
      <c r="J103" s="1">
        <v>1350.3606797749901</v>
      </c>
      <c r="K103" t="s">
        <v>149</v>
      </c>
      <c r="L103" s="1">
        <v>45.140390057276001</v>
      </c>
      <c r="M103" s="1">
        <v>0</v>
      </c>
      <c r="N103" s="1">
        <v>13</v>
      </c>
      <c r="O103" s="1">
        <v>3.3076923076920002</v>
      </c>
      <c r="P103" s="1">
        <v>61.407903893095003</v>
      </c>
      <c r="Q103" s="1">
        <v>3</v>
      </c>
      <c r="R103" s="1">
        <v>7</v>
      </c>
      <c r="S103" s="1">
        <v>3</v>
      </c>
      <c r="T103" t="s">
        <v>35</v>
      </c>
      <c r="U103" s="1">
        <v>2</v>
      </c>
      <c r="V103" s="1">
        <v>50.140390057276001</v>
      </c>
      <c r="W103" s="1">
        <v>601.68468068731204</v>
      </c>
      <c r="X103" s="1">
        <v>10.003494583273</v>
      </c>
      <c r="Y103" s="1">
        <v>0</v>
      </c>
      <c r="Z103" s="1">
        <v>67.122189607379994</v>
      </c>
      <c r="AA103" s="1">
        <v>469.85532725166001</v>
      </c>
      <c r="AB103" s="1">
        <v>14.518470802649</v>
      </c>
      <c r="AC103" s="1">
        <v>0</v>
      </c>
      <c r="AD103" t="s">
        <v>54</v>
      </c>
    </row>
    <row r="104" spans="1:30" x14ac:dyDescent="0.2">
      <c r="A104" s="1">
        <v>103</v>
      </c>
      <c r="B104" t="s">
        <v>150</v>
      </c>
      <c r="C104">
        <f t="shared" si="1"/>
        <v>3</v>
      </c>
      <c r="D104" t="s">
        <v>121</v>
      </c>
      <c r="E104" s="1">
        <v>4</v>
      </c>
      <c r="F104" s="1">
        <v>60</v>
      </c>
      <c r="G104" s="1">
        <v>1</v>
      </c>
      <c r="H104" s="1">
        <v>1650.9258240356701</v>
      </c>
      <c r="I104" t="s">
        <v>151</v>
      </c>
      <c r="J104" s="1">
        <v>1830</v>
      </c>
      <c r="K104" t="s">
        <v>152</v>
      </c>
      <c r="L104" s="1">
        <v>40.923924750551002</v>
      </c>
      <c r="M104" s="1">
        <v>0</v>
      </c>
      <c r="N104" s="1">
        <v>10</v>
      </c>
      <c r="O104" s="1">
        <v>2.8</v>
      </c>
      <c r="P104" s="1">
        <v>47.154759474225997</v>
      </c>
      <c r="Q104" s="1">
        <v>1</v>
      </c>
      <c r="R104" s="1">
        <v>2</v>
      </c>
      <c r="S104" s="1">
        <v>3</v>
      </c>
      <c r="T104" t="s">
        <v>35</v>
      </c>
      <c r="U104" s="1">
        <v>3</v>
      </c>
      <c r="V104" s="1">
        <v>45.923924750551002</v>
      </c>
      <c r="W104" s="1">
        <v>459.23924750550998</v>
      </c>
      <c r="X104" s="1">
        <v>4.7925824035669997</v>
      </c>
      <c r="Y104" s="1">
        <v>0</v>
      </c>
      <c r="Z104" s="1">
        <v>52.154759474225997</v>
      </c>
      <c r="AA104" s="1">
        <v>104.30951894845199</v>
      </c>
      <c r="AB104" s="1">
        <v>0</v>
      </c>
      <c r="AC104" s="1">
        <v>0</v>
      </c>
      <c r="AD104" t="s">
        <v>36</v>
      </c>
    </row>
    <row r="105" spans="1:30" x14ac:dyDescent="0.2">
      <c r="B105" t="s">
        <v>150</v>
      </c>
      <c r="C105">
        <f t="shared" si="1"/>
        <v>3</v>
      </c>
      <c r="D105" t="s">
        <v>121</v>
      </c>
      <c r="E105" s="1">
        <v>4</v>
      </c>
      <c r="F105" s="1">
        <v>90</v>
      </c>
      <c r="H105" s="1">
        <v>1650.9258240356701</v>
      </c>
      <c r="I105" t="s">
        <v>151</v>
      </c>
      <c r="J105" s="1">
        <v>1677.54101966249</v>
      </c>
      <c r="K105" t="s">
        <v>153</v>
      </c>
      <c r="L105" s="1">
        <v>40.923924750551002</v>
      </c>
      <c r="M105" s="1">
        <v>0</v>
      </c>
      <c r="N105" s="1">
        <v>10</v>
      </c>
      <c r="O105" s="1">
        <v>2.8</v>
      </c>
      <c r="P105" s="1">
        <v>61.204698907999997</v>
      </c>
      <c r="Q105" s="1">
        <v>3</v>
      </c>
      <c r="R105" s="1">
        <v>8</v>
      </c>
      <c r="S105" s="1">
        <v>3</v>
      </c>
      <c r="T105" t="s">
        <v>35</v>
      </c>
      <c r="U105" s="1">
        <v>3</v>
      </c>
      <c r="V105" s="1">
        <v>45.923924750551002</v>
      </c>
      <c r="W105" s="1">
        <v>459.23924750550998</v>
      </c>
      <c r="X105" s="1">
        <v>4.7925824035669997</v>
      </c>
      <c r="Y105" s="1">
        <v>0</v>
      </c>
      <c r="Z105" s="1">
        <v>66.204698907999997</v>
      </c>
      <c r="AA105" s="1">
        <v>397.22819344800001</v>
      </c>
      <c r="AB105" s="1">
        <v>8.5060195384099995</v>
      </c>
      <c r="AC105" s="1">
        <v>0</v>
      </c>
      <c r="AD105" t="s">
        <v>54</v>
      </c>
    </row>
    <row r="106" spans="1:30" x14ac:dyDescent="0.2">
      <c r="B106" t="s">
        <v>150</v>
      </c>
      <c r="C106">
        <f t="shared" si="1"/>
        <v>3</v>
      </c>
      <c r="D106" t="s">
        <v>121</v>
      </c>
      <c r="E106" s="1">
        <v>4</v>
      </c>
      <c r="F106" s="1">
        <v>120</v>
      </c>
      <c r="H106" s="1">
        <v>1650.9258240356701</v>
      </c>
      <c r="I106" t="s">
        <v>151</v>
      </c>
      <c r="J106" s="1">
        <v>1677.54101966249</v>
      </c>
      <c r="K106" t="s">
        <v>153</v>
      </c>
      <c r="L106" s="1">
        <v>40.923924750551002</v>
      </c>
      <c r="M106" s="1">
        <v>0</v>
      </c>
      <c r="N106" s="1">
        <v>10</v>
      </c>
      <c r="O106" s="1">
        <v>2.8</v>
      </c>
      <c r="P106" s="1">
        <v>61.204698907999997</v>
      </c>
      <c r="Q106" s="1">
        <v>3</v>
      </c>
      <c r="R106" s="1">
        <v>8</v>
      </c>
      <c r="S106" s="1">
        <v>3</v>
      </c>
      <c r="T106" t="s">
        <v>35</v>
      </c>
      <c r="U106" s="1">
        <v>3</v>
      </c>
      <c r="V106" s="1">
        <v>45.923924750551002</v>
      </c>
      <c r="W106" s="1">
        <v>459.23924750550998</v>
      </c>
      <c r="X106" s="1">
        <v>4.7925824035669997</v>
      </c>
      <c r="Y106" s="1">
        <v>0</v>
      </c>
      <c r="Z106" s="1">
        <v>66.204698907999997</v>
      </c>
      <c r="AA106" s="1">
        <v>397.22819344800001</v>
      </c>
      <c r="AB106" s="1">
        <v>8.5060195384099995</v>
      </c>
      <c r="AC106" s="1">
        <v>0</v>
      </c>
      <c r="AD106" t="s">
        <v>54</v>
      </c>
    </row>
    <row r="107" spans="1:30" x14ac:dyDescent="0.2">
      <c r="A107" s="1">
        <v>106</v>
      </c>
      <c r="B107" t="s">
        <v>150</v>
      </c>
      <c r="C107">
        <f t="shared" si="1"/>
        <v>3</v>
      </c>
      <c r="D107" t="s">
        <v>121</v>
      </c>
      <c r="E107" s="1">
        <v>8</v>
      </c>
      <c r="F107" s="1">
        <v>60</v>
      </c>
      <c r="G107" s="1">
        <v>1</v>
      </c>
      <c r="H107" s="1">
        <v>1650.9258240356701</v>
      </c>
      <c r="I107" t="s">
        <v>151</v>
      </c>
      <c r="J107" s="1">
        <v>1823.1803398874899</v>
      </c>
      <c r="K107" t="s">
        <v>154</v>
      </c>
      <c r="L107" s="1">
        <v>40.923924750551002</v>
      </c>
      <c r="M107" s="1">
        <v>0</v>
      </c>
      <c r="N107" s="1">
        <v>10</v>
      </c>
      <c r="O107" s="1">
        <v>2.8</v>
      </c>
      <c r="P107" s="1">
        <v>22.360679774998001</v>
      </c>
      <c r="Q107" s="1">
        <v>1</v>
      </c>
      <c r="R107" s="1">
        <v>1</v>
      </c>
      <c r="S107" s="1">
        <v>3</v>
      </c>
      <c r="T107" t="s">
        <v>35</v>
      </c>
      <c r="U107" s="1">
        <v>3</v>
      </c>
      <c r="V107" s="1">
        <v>45.923924750551002</v>
      </c>
      <c r="W107" s="1">
        <v>459.23924750550998</v>
      </c>
      <c r="X107" s="1">
        <v>4.7925824035669997</v>
      </c>
      <c r="Y107" s="1">
        <v>0</v>
      </c>
      <c r="Z107" s="1">
        <v>27.360679774998001</v>
      </c>
      <c r="AA107" s="1">
        <v>27.360679774998001</v>
      </c>
      <c r="AB107" s="1">
        <v>2.1803398874990001</v>
      </c>
      <c r="AC107" s="1">
        <v>0</v>
      </c>
      <c r="AD107" t="s">
        <v>36</v>
      </c>
    </row>
    <row r="108" spans="1:30" x14ac:dyDescent="0.2">
      <c r="B108" t="s">
        <v>150</v>
      </c>
      <c r="C108">
        <f t="shared" si="1"/>
        <v>3</v>
      </c>
      <c r="D108" t="s">
        <v>121</v>
      </c>
      <c r="E108" s="1">
        <v>8</v>
      </c>
      <c r="F108" s="1">
        <v>90</v>
      </c>
      <c r="H108" s="1">
        <v>1650.9258240356701</v>
      </c>
      <c r="I108" t="s">
        <v>151</v>
      </c>
      <c r="J108" s="1">
        <v>1677.54101966249</v>
      </c>
      <c r="K108" t="s">
        <v>153</v>
      </c>
      <c r="L108" s="1">
        <v>40.923924750551002</v>
      </c>
      <c r="M108" s="1">
        <v>0</v>
      </c>
      <c r="N108" s="1">
        <v>10</v>
      </c>
      <c r="O108" s="1">
        <v>2.8</v>
      </c>
      <c r="P108" s="1">
        <v>61.204698907999997</v>
      </c>
      <c r="Q108" s="1">
        <v>3</v>
      </c>
      <c r="R108" s="1">
        <v>8</v>
      </c>
      <c r="S108" s="1">
        <v>3</v>
      </c>
      <c r="T108" t="s">
        <v>35</v>
      </c>
      <c r="U108" s="1">
        <v>3</v>
      </c>
      <c r="V108" s="1">
        <v>45.923924750551002</v>
      </c>
      <c r="W108" s="1">
        <v>459.23924750550998</v>
      </c>
      <c r="X108" s="1">
        <v>4.7925824035669997</v>
      </c>
      <c r="Y108" s="1">
        <v>0</v>
      </c>
      <c r="Z108" s="1">
        <v>66.204698907999997</v>
      </c>
      <c r="AA108" s="1">
        <v>397.22819344800001</v>
      </c>
      <c r="AB108" s="1">
        <v>8.5060195384099995</v>
      </c>
      <c r="AC108" s="1">
        <v>0</v>
      </c>
      <c r="AD108" t="s">
        <v>54</v>
      </c>
    </row>
    <row r="109" spans="1:30" x14ac:dyDescent="0.2">
      <c r="B109" t="s">
        <v>150</v>
      </c>
      <c r="C109">
        <f t="shared" si="1"/>
        <v>3</v>
      </c>
      <c r="D109" t="s">
        <v>121</v>
      </c>
      <c r="E109" s="1">
        <v>8</v>
      </c>
      <c r="F109" s="1">
        <v>120</v>
      </c>
      <c r="H109" s="1">
        <v>1650.9258240356701</v>
      </c>
      <c r="I109" t="s">
        <v>151</v>
      </c>
      <c r="J109" s="1">
        <v>1677.54101966249</v>
      </c>
      <c r="K109" t="s">
        <v>153</v>
      </c>
      <c r="L109" s="1">
        <v>40.923924750551002</v>
      </c>
      <c r="M109" s="1">
        <v>0</v>
      </c>
      <c r="N109" s="1">
        <v>10</v>
      </c>
      <c r="O109" s="1">
        <v>2.8</v>
      </c>
      <c r="P109" s="1">
        <v>61.204698907999997</v>
      </c>
      <c r="Q109" s="1">
        <v>3</v>
      </c>
      <c r="R109" s="1">
        <v>8</v>
      </c>
      <c r="S109" s="1">
        <v>3</v>
      </c>
      <c r="T109" t="s">
        <v>35</v>
      </c>
      <c r="U109" s="1">
        <v>3</v>
      </c>
      <c r="V109" s="1">
        <v>45.923924750551002</v>
      </c>
      <c r="W109" s="1">
        <v>459.23924750550998</v>
      </c>
      <c r="X109" s="1">
        <v>4.7925824035669997</v>
      </c>
      <c r="Y109" s="1">
        <v>0</v>
      </c>
      <c r="Z109" s="1">
        <v>66.204698907999997</v>
      </c>
      <c r="AA109" s="1">
        <v>397.22819344800001</v>
      </c>
      <c r="AB109" s="1">
        <v>8.5060195384099995</v>
      </c>
      <c r="AC109" s="1">
        <v>0</v>
      </c>
      <c r="AD109" t="s">
        <v>54</v>
      </c>
    </row>
    <row r="110" spans="1:30" x14ac:dyDescent="0.2">
      <c r="A110" s="1">
        <v>49</v>
      </c>
      <c r="B110" t="s">
        <v>155</v>
      </c>
      <c r="C110">
        <f t="shared" si="1"/>
        <v>0.5</v>
      </c>
      <c r="D110" t="s">
        <v>156</v>
      </c>
      <c r="E110" s="1">
        <v>4</v>
      </c>
      <c r="F110" s="1">
        <v>60</v>
      </c>
      <c r="G110" s="1">
        <v>1</v>
      </c>
      <c r="H110" s="1">
        <v>661</v>
      </c>
      <c r="I110" t="s">
        <v>157</v>
      </c>
      <c r="L110" s="1">
        <v>0</v>
      </c>
      <c r="M110" s="1">
        <v>0</v>
      </c>
      <c r="N110" s="1">
        <v>0</v>
      </c>
      <c r="O110" s="1">
        <v>0</v>
      </c>
      <c r="T110" t="s">
        <v>35</v>
      </c>
      <c r="U110" s="1">
        <v>0.5</v>
      </c>
      <c r="V110" s="1">
        <v>0</v>
      </c>
      <c r="W110" s="1">
        <v>0</v>
      </c>
      <c r="X110" s="1">
        <v>0</v>
      </c>
      <c r="Y110" s="1">
        <v>0</v>
      </c>
      <c r="AD110" t="s">
        <v>36</v>
      </c>
    </row>
    <row r="111" spans="1:30" x14ac:dyDescent="0.2">
      <c r="A111" s="1">
        <v>49</v>
      </c>
      <c r="B111" t="s">
        <v>155</v>
      </c>
      <c r="C111">
        <f t="shared" si="1"/>
        <v>0.5</v>
      </c>
      <c r="D111" t="s">
        <v>156</v>
      </c>
      <c r="E111" s="1">
        <v>4</v>
      </c>
      <c r="F111" s="1">
        <v>90</v>
      </c>
      <c r="G111" s="1">
        <v>1</v>
      </c>
      <c r="H111" s="1">
        <v>661</v>
      </c>
      <c r="I111" t="s">
        <v>157</v>
      </c>
      <c r="L111" s="1">
        <v>0</v>
      </c>
      <c r="M111" s="1">
        <v>0</v>
      </c>
      <c r="N111" s="1">
        <v>0</v>
      </c>
      <c r="O111" s="1">
        <v>0</v>
      </c>
      <c r="T111" t="s">
        <v>35</v>
      </c>
      <c r="U111" s="1">
        <v>0.5</v>
      </c>
      <c r="V111" s="1">
        <v>0</v>
      </c>
      <c r="W111" s="1">
        <v>0</v>
      </c>
      <c r="X111" s="1">
        <v>0</v>
      </c>
      <c r="Y111" s="1">
        <v>0</v>
      </c>
      <c r="AD111" t="s">
        <v>36</v>
      </c>
    </row>
    <row r="112" spans="1:30" x14ac:dyDescent="0.2">
      <c r="A112" s="1">
        <v>51</v>
      </c>
      <c r="B112" t="s">
        <v>155</v>
      </c>
      <c r="C112">
        <f t="shared" si="1"/>
        <v>0.5</v>
      </c>
      <c r="D112" t="s">
        <v>156</v>
      </c>
      <c r="E112" s="1">
        <v>4</v>
      </c>
      <c r="F112" s="1">
        <v>120</v>
      </c>
      <c r="G112" s="1">
        <v>3</v>
      </c>
      <c r="H112" s="1">
        <v>661</v>
      </c>
      <c r="I112" t="s">
        <v>158</v>
      </c>
      <c r="L112" s="1">
        <v>0</v>
      </c>
      <c r="M112" s="1">
        <v>0</v>
      </c>
      <c r="N112" s="1">
        <v>0</v>
      </c>
      <c r="O112" s="1">
        <v>0</v>
      </c>
      <c r="T112" t="s">
        <v>35</v>
      </c>
      <c r="U112" s="1">
        <v>0.5</v>
      </c>
      <c r="V112" s="1">
        <v>0</v>
      </c>
      <c r="W112" s="1">
        <v>0</v>
      </c>
      <c r="X112" s="1">
        <v>0</v>
      </c>
      <c r="Y112" s="1">
        <v>0</v>
      </c>
      <c r="AD112" t="s">
        <v>36</v>
      </c>
    </row>
    <row r="113" spans="1:30" x14ac:dyDescent="0.2">
      <c r="A113" s="1">
        <v>52</v>
      </c>
      <c r="B113" t="s">
        <v>155</v>
      </c>
      <c r="C113">
        <f t="shared" si="1"/>
        <v>0.5</v>
      </c>
      <c r="D113" t="s">
        <v>156</v>
      </c>
      <c r="E113" s="1">
        <v>8</v>
      </c>
      <c r="F113" s="1">
        <v>60</v>
      </c>
      <c r="G113" s="1">
        <v>1</v>
      </c>
      <c r="H113" s="1">
        <v>661</v>
      </c>
      <c r="I113" t="s">
        <v>159</v>
      </c>
      <c r="L113" s="1">
        <v>0</v>
      </c>
      <c r="M113" s="1">
        <v>0</v>
      </c>
      <c r="N113" s="1">
        <v>0</v>
      </c>
      <c r="O113" s="1">
        <v>0</v>
      </c>
      <c r="T113" t="s">
        <v>35</v>
      </c>
      <c r="U113" s="1">
        <v>0.5</v>
      </c>
      <c r="V113" s="1">
        <v>0</v>
      </c>
      <c r="W113" s="1">
        <v>0</v>
      </c>
      <c r="X113" s="1">
        <v>0</v>
      </c>
      <c r="Y113" s="1">
        <v>0</v>
      </c>
      <c r="AD113" t="s">
        <v>36</v>
      </c>
    </row>
    <row r="114" spans="1:30" x14ac:dyDescent="0.2">
      <c r="A114" s="1">
        <v>52</v>
      </c>
      <c r="B114" t="s">
        <v>155</v>
      </c>
      <c r="C114">
        <f t="shared" si="1"/>
        <v>0.5</v>
      </c>
      <c r="D114" t="s">
        <v>156</v>
      </c>
      <c r="E114" s="1">
        <v>8</v>
      </c>
      <c r="F114" s="1">
        <v>90</v>
      </c>
      <c r="G114" s="1">
        <v>1</v>
      </c>
      <c r="H114" s="1">
        <v>661</v>
      </c>
      <c r="I114" t="s">
        <v>159</v>
      </c>
      <c r="L114" s="1">
        <v>0</v>
      </c>
      <c r="M114" s="1">
        <v>0</v>
      </c>
      <c r="N114" s="1">
        <v>0</v>
      </c>
      <c r="O114" s="1">
        <v>0</v>
      </c>
      <c r="T114" t="s">
        <v>35</v>
      </c>
      <c r="U114" s="1">
        <v>0.5</v>
      </c>
      <c r="V114" s="1">
        <v>0</v>
      </c>
      <c r="W114" s="1">
        <v>0</v>
      </c>
      <c r="X114" s="1">
        <v>0</v>
      </c>
      <c r="Y114" s="1">
        <v>0</v>
      </c>
      <c r="AD114" t="s">
        <v>36</v>
      </c>
    </row>
    <row r="115" spans="1:30" x14ac:dyDescent="0.2">
      <c r="A115" s="1">
        <v>54</v>
      </c>
      <c r="B115" t="s">
        <v>155</v>
      </c>
      <c r="C115">
        <f t="shared" si="1"/>
        <v>0.5</v>
      </c>
      <c r="D115" t="s">
        <v>156</v>
      </c>
      <c r="E115" s="1">
        <v>8</v>
      </c>
      <c r="F115" s="1">
        <v>120</v>
      </c>
      <c r="G115" s="1">
        <v>3</v>
      </c>
      <c r="H115" s="1">
        <v>661</v>
      </c>
      <c r="I115" t="s">
        <v>160</v>
      </c>
      <c r="J115" s="1">
        <v>751</v>
      </c>
      <c r="K115" t="s">
        <v>161</v>
      </c>
      <c r="L115" s="1">
        <v>0</v>
      </c>
      <c r="M115" s="1">
        <v>0</v>
      </c>
      <c r="N115" s="1">
        <v>0</v>
      </c>
      <c r="O115" s="1">
        <v>0</v>
      </c>
      <c r="P115" s="1">
        <v>69.699428784947003</v>
      </c>
      <c r="Q115" s="1">
        <v>1</v>
      </c>
      <c r="R115" s="1">
        <v>5</v>
      </c>
      <c r="S115" s="1">
        <v>5.2</v>
      </c>
      <c r="T115" t="s">
        <v>35</v>
      </c>
      <c r="U115" s="1">
        <v>0.5</v>
      </c>
      <c r="V115" s="1">
        <v>0</v>
      </c>
      <c r="W115" s="1">
        <v>0</v>
      </c>
      <c r="X115" s="1">
        <v>0</v>
      </c>
      <c r="Y115" s="1">
        <v>0</v>
      </c>
      <c r="Z115" s="1">
        <v>74.699428784947003</v>
      </c>
      <c r="AA115" s="1">
        <v>373.49714392473498</v>
      </c>
      <c r="AB115" s="1">
        <v>3.277653896281</v>
      </c>
      <c r="AC115" s="1">
        <v>0</v>
      </c>
      <c r="AD115" t="s">
        <v>36</v>
      </c>
    </row>
    <row r="116" spans="1:30" x14ac:dyDescent="0.2">
      <c r="A116" s="1">
        <v>55</v>
      </c>
      <c r="B116" t="s">
        <v>162</v>
      </c>
      <c r="C116">
        <f t="shared" si="1"/>
        <v>1.5</v>
      </c>
      <c r="D116" t="s">
        <v>156</v>
      </c>
      <c r="E116" s="1">
        <v>4</v>
      </c>
      <c r="F116" s="1">
        <v>60</v>
      </c>
      <c r="G116" s="1">
        <v>1</v>
      </c>
      <c r="H116" s="1">
        <v>1020</v>
      </c>
      <c r="I116" t="s">
        <v>163</v>
      </c>
      <c r="L116" s="1">
        <v>0</v>
      </c>
      <c r="M116" s="1">
        <v>0</v>
      </c>
      <c r="N116" s="1">
        <v>0</v>
      </c>
      <c r="O116" s="1">
        <v>0</v>
      </c>
      <c r="T116" t="s">
        <v>35</v>
      </c>
      <c r="U116" s="1">
        <v>1.5</v>
      </c>
      <c r="V116" s="1">
        <v>0</v>
      </c>
      <c r="W116" s="1">
        <v>0</v>
      </c>
      <c r="X116" s="1">
        <v>0</v>
      </c>
      <c r="Y116" s="1">
        <v>0</v>
      </c>
      <c r="AD116" t="s">
        <v>36</v>
      </c>
    </row>
    <row r="117" spans="1:30" x14ac:dyDescent="0.2">
      <c r="A117" s="1">
        <v>56</v>
      </c>
      <c r="B117" t="s">
        <v>162</v>
      </c>
      <c r="C117">
        <f t="shared" si="1"/>
        <v>1.5</v>
      </c>
      <c r="D117" t="s">
        <v>156</v>
      </c>
      <c r="E117" s="1">
        <v>4</v>
      </c>
      <c r="F117" s="1">
        <v>90</v>
      </c>
      <c r="G117" s="1">
        <v>2</v>
      </c>
      <c r="H117" s="1">
        <v>946</v>
      </c>
      <c r="I117" t="s">
        <v>164</v>
      </c>
      <c r="L117" s="1">
        <v>78.366965394540998</v>
      </c>
      <c r="M117" s="1">
        <v>0</v>
      </c>
      <c r="N117" s="1">
        <v>2</v>
      </c>
      <c r="O117" s="1">
        <v>3.5</v>
      </c>
      <c r="T117" t="s">
        <v>35</v>
      </c>
      <c r="U117" s="1">
        <v>1.5</v>
      </c>
      <c r="V117" s="1">
        <v>83.366965394540998</v>
      </c>
      <c r="W117" s="1">
        <v>166.733930789082</v>
      </c>
      <c r="X117" s="1">
        <v>0</v>
      </c>
      <c r="Y117" s="1">
        <v>0</v>
      </c>
      <c r="AD117" t="s">
        <v>36</v>
      </c>
    </row>
    <row r="118" spans="1:30" x14ac:dyDescent="0.2">
      <c r="A118" s="1">
        <v>56</v>
      </c>
      <c r="B118" t="s">
        <v>162</v>
      </c>
      <c r="C118">
        <f t="shared" si="1"/>
        <v>1.5</v>
      </c>
      <c r="D118" t="s">
        <v>156</v>
      </c>
      <c r="E118" s="1">
        <v>4</v>
      </c>
      <c r="F118" s="1">
        <v>120</v>
      </c>
      <c r="G118" s="1">
        <v>2</v>
      </c>
      <c r="H118" s="1">
        <v>946</v>
      </c>
      <c r="I118" t="s">
        <v>164</v>
      </c>
      <c r="L118" s="1">
        <v>78.366965394540998</v>
      </c>
      <c r="M118" s="1">
        <v>0</v>
      </c>
      <c r="N118" s="1">
        <v>2</v>
      </c>
      <c r="O118" s="1">
        <v>3.5</v>
      </c>
      <c r="T118" t="s">
        <v>35</v>
      </c>
      <c r="U118" s="1">
        <v>1.5</v>
      </c>
      <c r="V118" s="1">
        <v>83.366965394540998</v>
      </c>
      <c r="W118" s="1">
        <v>166.733930789082</v>
      </c>
      <c r="X118" s="1">
        <v>0</v>
      </c>
      <c r="Y118" s="1">
        <v>0</v>
      </c>
      <c r="AD118" t="s">
        <v>36</v>
      </c>
    </row>
    <row r="119" spans="1:30" x14ac:dyDescent="0.2">
      <c r="A119" s="1">
        <v>55</v>
      </c>
      <c r="B119" t="s">
        <v>162</v>
      </c>
      <c r="C119">
        <f t="shared" si="1"/>
        <v>1.5</v>
      </c>
      <c r="D119" t="s">
        <v>156</v>
      </c>
      <c r="E119" s="1">
        <v>8</v>
      </c>
      <c r="F119" s="1">
        <v>60</v>
      </c>
      <c r="G119" s="1">
        <v>1</v>
      </c>
      <c r="H119" s="1">
        <v>1020</v>
      </c>
      <c r="I119" t="s">
        <v>163</v>
      </c>
      <c r="L119" s="1">
        <v>0</v>
      </c>
      <c r="M119" s="1">
        <v>0</v>
      </c>
      <c r="N119" s="1">
        <v>0</v>
      </c>
      <c r="O119" s="1">
        <v>0</v>
      </c>
      <c r="T119" t="s">
        <v>35</v>
      </c>
      <c r="U119" s="1">
        <v>1.5</v>
      </c>
      <c r="V119" s="1">
        <v>0</v>
      </c>
      <c r="W119" s="1">
        <v>0</v>
      </c>
      <c r="X119" s="1">
        <v>0</v>
      </c>
      <c r="Y119" s="1">
        <v>0</v>
      </c>
      <c r="AD119" t="s">
        <v>36</v>
      </c>
    </row>
    <row r="120" spans="1:30" x14ac:dyDescent="0.2">
      <c r="A120" s="1">
        <v>59</v>
      </c>
      <c r="B120" t="s">
        <v>162</v>
      </c>
      <c r="C120">
        <f t="shared" si="1"/>
        <v>1.5</v>
      </c>
      <c r="D120" t="s">
        <v>156</v>
      </c>
      <c r="E120" s="1">
        <v>8</v>
      </c>
      <c r="F120" s="1">
        <v>90</v>
      </c>
      <c r="G120" s="1">
        <v>2</v>
      </c>
      <c r="H120" s="1">
        <v>946</v>
      </c>
      <c r="I120" t="s">
        <v>164</v>
      </c>
      <c r="L120" s="1">
        <v>78.366965394540998</v>
      </c>
      <c r="M120" s="1">
        <v>0</v>
      </c>
      <c r="N120" s="1">
        <v>2</v>
      </c>
      <c r="O120" s="1">
        <v>3.5</v>
      </c>
      <c r="T120" t="s">
        <v>35</v>
      </c>
      <c r="U120" s="1">
        <v>1.5</v>
      </c>
      <c r="V120" s="1">
        <v>83.366965394540998</v>
      </c>
      <c r="W120" s="1">
        <v>166.733930789082</v>
      </c>
      <c r="X120" s="1">
        <v>0</v>
      </c>
      <c r="Y120" s="1">
        <v>0</v>
      </c>
      <c r="AD120" t="s">
        <v>36</v>
      </c>
    </row>
    <row r="121" spans="1:30" x14ac:dyDescent="0.2">
      <c r="A121" s="1">
        <v>120</v>
      </c>
      <c r="B121" t="s">
        <v>162</v>
      </c>
      <c r="C121">
        <f t="shared" si="1"/>
        <v>1.5</v>
      </c>
      <c r="D121" t="s">
        <v>156</v>
      </c>
      <c r="E121" s="1">
        <v>8</v>
      </c>
      <c r="F121" s="1">
        <v>120</v>
      </c>
      <c r="G121" s="1">
        <v>1</v>
      </c>
      <c r="H121" s="1">
        <v>931.35733730830896</v>
      </c>
      <c r="I121" t="s">
        <v>165</v>
      </c>
      <c r="L121" s="1">
        <v>83.133974381016003</v>
      </c>
      <c r="M121" s="1">
        <v>2</v>
      </c>
      <c r="N121" s="1">
        <v>5</v>
      </c>
      <c r="O121" s="1">
        <v>5.6</v>
      </c>
      <c r="T121" t="s">
        <v>35</v>
      </c>
      <c r="U121" s="1">
        <v>1.5</v>
      </c>
      <c r="V121" s="1">
        <v>90.133974381016003</v>
      </c>
      <c r="W121" s="1">
        <v>450.66987190508002</v>
      </c>
      <c r="X121" s="1">
        <v>23.673524945231001</v>
      </c>
      <c r="Y121" s="1">
        <v>0</v>
      </c>
      <c r="AD121" t="s">
        <v>36</v>
      </c>
    </row>
    <row r="122" spans="1:30" x14ac:dyDescent="0.2">
      <c r="A122" s="1">
        <v>61</v>
      </c>
      <c r="B122" t="s">
        <v>166</v>
      </c>
      <c r="C122">
        <f t="shared" si="1"/>
        <v>1</v>
      </c>
      <c r="D122" t="s">
        <v>156</v>
      </c>
      <c r="E122" s="1">
        <v>4</v>
      </c>
      <c r="F122" s="1">
        <v>60</v>
      </c>
      <c r="G122" s="1">
        <v>1</v>
      </c>
      <c r="H122" s="1">
        <v>826</v>
      </c>
      <c r="I122" t="s">
        <v>167</v>
      </c>
      <c r="L122" s="1">
        <v>0</v>
      </c>
      <c r="M122" s="1">
        <v>0</v>
      </c>
      <c r="N122" s="1">
        <v>0</v>
      </c>
      <c r="O122" s="1">
        <v>0</v>
      </c>
      <c r="T122" t="s">
        <v>35</v>
      </c>
      <c r="U122" s="1">
        <v>1</v>
      </c>
      <c r="V122" s="1">
        <v>0</v>
      </c>
      <c r="W122" s="1">
        <v>0</v>
      </c>
      <c r="X122" s="1">
        <v>0</v>
      </c>
      <c r="Y122" s="1">
        <v>0</v>
      </c>
      <c r="AD122" t="s">
        <v>36</v>
      </c>
    </row>
    <row r="123" spans="1:30" x14ac:dyDescent="0.2">
      <c r="A123" s="1">
        <v>62</v>
      </c>
      <c r="B123" t="s">
        <v>166</v>
      </c>
      <c r="C123">
        <f t="shared" si="1"/>
        <v>1</v>
      </c>
      <c r="D123" t="s">
        <v>156</v>
      </c>
      <c r="E123" s="1">
        <v>4</v>
      </c>
      <c r="F123" s="1">
        <v>90</v>
      </c>
      <c r="G123" s="1">
        <v>1</v>
      </c>
      <c r="H123" s="1">
        <v>780</v>
      </c>
      <c r="I123" t="s">
        <v>168</v>
      </c>
      <c r="L123" s="1">
        <v>71.619885191815996</v>
      </c>
      <c r="M123" s="1">
        <v>0</v>
      </c>
      <c r="N123" s="1">
        <v>2</v>
      </c>
      <c r="O123" s="1">
        <v>2.5</v>
      </c>
      <c r="T123" t="s">
        <v>35</v>
      </c>
      <c r="U123" s="1">
        <v>1</v>
      </c>
      <c r="V123" s="1">
        <v>76.619885191815996</v>
      </c>
      <c r="W123" s="1">
        <v>153.23977038363199</v>
      </c>
      <c r="X123" s="1">
        <v>0</v>
      </c>
      <c r="Y123" s="1">
        <v>0</v>
      </c>
      <c r="AD123" t="s">
        <v>36</v>
      </c>
    </row>
    <row r="124" spans="1:30" x14ac:dyDescent="0.2">
      <c r="A124" s="1">
        <v>123</v>
      </c>
      <c r="B124" t="s">
        <v>166</v>
      </c>
      <c r="C124">
        <f t="shared" si="1"/>
        <v>1</v>
      </c>
      <c r="D124" t="s">
        <v>156</v>
      </c>
      <c r="E124" s="1">
        <v>4</v>
      </c>
      <c r="F124" s="1">
        <v>120</v>
      </c>
      <c r="G124" s="1">
        <v>1</v>
      </c>
      <c r="H124" s="1">
        <v>780</v>
      </c>
      <c r="I124" t="s">
        <v>168</v>
      </c>
      <c r="J124" s="1">
        <v>989</v>
      </c>
      <c r="K124" t="s">
        <v>169</v>
      </c>
      <c r="L124" s="1">
        <v>71.619885191815996</v>
      </c>
      <c r="M124" s="1">
        <v>0</v>
      </c>
      <c r="N124" s="1">
        <v>2</v>
      </c>
      <c r="O124" s="1">
        <v>2.5</v>
      </c>
      <c r="P124" s="1">
        <v>91.691897263968002</v>
      </c>
      <c r="Q124" s="1">
        <v>1</v>
      </c>
      <c r="R124" s="1">
        <v>3</v>
      </c>
      <c r="S124" s="1">
        <v>3</v>
      </c>
      <c r="T124" t="s">
        <v>35</v>
      </c>
      <c r="U124" s="1">
        <v>1</v>
      </c>
      <c r="V124" s="1">
        <v>76.619885191815996</v>
      </c>
      <c r="W124" s="1">
        <v>153.23977038363199</v>
      </c>
      <c r="X124" s="1">
        <v>0</v>
      </c>
      <c r="Y124" s="1">
        <v>0</v>
      </c>
      <c r="Z124" s="1">
        <v>98.358563930635</v>
      </c>
      <c r="AA124" s="1">
        <v>295.075691791905</v>
      </c>
      <c r="AB124" s="1">
        <v>0</v>
      </c>
      <c r="AC124" s="1">
        <v>1.6537087982159999</v>
      </c>
      <c r="AD124" t="s">
        <v>36</v>
      </c>
    </row>
    <row r="125" spans="1:30" x14ac:dyDescent="0.2">
      <c r="A125" s="1">
        <v>64</v>
      </c>
      <c r="B125" t="s">
        <v>166</v>
      </c>
      <c r="C125">
        <f t="shared" si="1"/>
        <v>1</v>
      </c>
      <c r="D125" t="s">
        <v>156</v>
      </c>
      <c r="E125" s="1">
        <v>8</v>
      </c>
      <c r="F125" s="1">
        <v>60</v>
      </c>
      <c r="G125" s="1">
        <v>1</v>
      </c>
      <c r="H125" s="1">
        <v>826</v>
      </c>
      <c r="I125" t="s">
        <v>170</v>
      </c>
      <c r="L125" s="1">
        <v>0</v>
      </c>
      <c r="M125" s="1">
        <v>0</v>
      </c>
      <c r="N125" s="1">
        <v>0</v>
      </c>
      <c r="O125" s="1">
        <v>0</v>
      </c>
      <c r="T125" t="s">
        <v>35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AD125" t="s">
        <v>36</v>
      </c>
    </row>
    <row r="126" spans="1:30" x14ac:dyDescent="0.2">
      <c r="A126" s="1">
        <v>125</v>
      </c>
      <c r="B126" t="s">
        <v>166</v>
      </c>
      <c r="C126">
        <f t="shared" si="1"/>
        <v>1</v>
      </c>
      <c r="D126" t="s">
        <v>156</v>
      </c>
      <c r="E126" s="1">
        <v>8</v>
      </c>
      <c r="F126" s="1">
        <v>90</v>
      </c>
      <c r="G126" s="1">
        <v>1</v>
      </c>
      <c r="H126" s="1">
        <v>780</v>
      </c>
      <c r="I126" t="s">
        <v>168</v>
      </c>
      <c r="J126" s="1">
        <v>932</v>
      </c>
      <c r="K126" t="s">
        <v>171</v>
      </c>
      <c r="L126" s="1">
        <v>71.619885191815996</v>
      </c>
      <c r="M126" s="1">
        <v>0</v>
      </c>
      <c r="N126" s="1">
        <v>2</v>
      </c>
      <c r="O126" s="1">
        <v>2.5</v>
      </c>
      <c r="P126" s="1">
        <v>66.603303221386994</v>
      </c>
      <c r="Q126" s="1">
        <v>1</v>
      </c>
      <c r="R126" s="1">
        <v>2</v>
      </c>
      <c r="S126" s="1">
        <v>3</v>
      </c>
      <c r="T126" t="s">
        <v>35</v>
      </c>
      <c r="U126" s="1">
        <v>1</v>
      </c>
      <c r="V126" s="1">
        <v>76.619885191815996</v>
      </c>
      <c r="W126" s="1">
        <v>153.23977038363199</v>
      </c>
      <c r="X126" s="1">
        <v>0</v>
      </c>
      <c r="Y126" s="1">
        <v>0</v>
      </c>
      <c r="Z126" s="1">
        <v>71.603303221386994</v>
      </c>
      <c r="AA126" s="1">
        <v>71.603303221386994</v>
      </c>
      <c r="AB126" s="1">
        <v>0</v>
      </c>
      <c r="AC126" s="1">
        <v>0</v>
      </c>
      <c r="AD126" t="s">
        <v>36</v>
      </c>
    </row>
    <row r="127" spans="1:30" x14ac:dyDescent="0.2">
      <c r="A127" s="1">
        <v>66</v>
      </c>
      <c r="B127" t="s">
        <v>166</v>
      </c>
      <c r="C127">
        <f t="shared" si="1"/>
        <v>1</v>
      </c>
      <c r="D127" t="s">
        <v>156</v>
      </c>
      <c r="E127" s="1">
        <v>8</v>
      </c>
      <c r="F127" s="1">
        <v>120</v>
      </c>
      <c r="G127" s="1">
        <v>1</v>
      </c>
      <c r="H127" s="1">
        <v>780</v>
      </c>
      <c r="I127" t="s">
        <v>168</v>
      </c>
      <c r="J127" s="1">
        <v>981.05551275463995</v>
      </c>
      <c r="K127" t="s">
        <v>172</v>
      </c>
      <c r="L127" s="1">
        <v>71.619885191815996</v>
      </c>
      <c r="M127" s="1">
        <v>0</v>
      </c>
      <c r="N127" s="1">
        <v>2</v>
      </c>
      <c r="O127" s="1">
        <v>2.5</v>
      </c>
      <c r="P127" s="1">
        <v>86.683916450959998</v>
      </c>
      <c r="Q127" s="1">
        <v>2</v>
      </c>
      <c r="R127" s="1">
        <v>3</v>
      </c>
      <c r="S127" s="1">
        <v>7</v>
      </c>
      <c r="T127" t="s">
        <v>35</v>
      </c>
      <c r="U127" s="1">
        <v>1</v>
      </c>
      <c r="V127" s="1">
        <v>76.619885191815996</v>
      </c>
      <c r="W127" s="1">
        <v>153.23977038363199</v>
      </c>
      <c r="X127" s="1">
        <v>0</v>
      </c>
      <c r="Y127" s="1">
        <v>0</v>
      </c>
      <c r="Z127" s="1">
        <v>93.350583117626002</v>
      </c>
      <c r="AA127" s="1">
        <v>280.05174935287801</v>
      </c>
      <c r="AB127" s="1">
        <v>11.366591142152</v>
      </c>
      <c r="AC127" s="1">
        <v>0</v>
      </c>
      <c r="AD127" t="s">
        <v>36</v>
      </c>
    </row>
    <row r="128" spans="1:30" x14ac:dyDescent="0.2">
      <c r="A128" s="1">
        <v>127</v>
      </c>
      <c r="B128" t="s">
        <v>173</v>
      </c>
      <c r="C128">
        <f t="shared" si="1"/>
        <v>2.5</v>
      </c>
      <c r="D128" t="s">
        <v>156</v>
      </c>
      <c r="E128" s="1">
        <v>4</v>
      </c>
      <c r="F128" s="1">
        <v>60</v>
      </c>
      <c r="G128" s="1">
        <v>1</v>
      </c>
      <c r="H128" s="1">
        <v>1401</v>
      </c>
      <c r="I128" t="s">
        <v>174</v>
      </c>
      <c r="L128" s="1">
        <v>0</v>
      </c>
      <c r="M128" s="1">
        <v>0</v>
      </c>
      <c r="N128" s="1">
        <v>0</v>
      </c>
      <c r="O128" s="1">
        <v>0</v>
      </c>
      <c r="T128" t="s">
        <v>35</v>
      </c>
      <c r="U128" s="1">
        <v>2.5</v>
      </c>
      <c r="V128" s="1">
        <v>0</v>
      </c>
      <c r="W128" s="1">
        <v>0</v>
      </c>
      <c r="X128" s="1">
        <v>0</v>
      </c>
      <c r="Y128" s="1">
        <v>0</v>
      </c>
      <c r="AD128" t="s">
        <v>36</v>
      </c>
    </row>
    <row r="129" spans="1:30" x14ac:dyDescent="0.2">
      <c r="A129" s="1">
        <v>128</v>
      </c>
      <c r="B129" t="s">
        <v>173</v>
      </c>
      <c r="C129">
        <f t="shared" si="1"/>
        <v>2.5</v>
      </c>
      <c r="D129" t="s">
        <v>156</v>
      </c>
      <c r="E129" s="1">
        <v>4</v>
      </c>
      <c r="F129" s="1">
        <v>90</v>
      </c>
      <c r="G129" s="1">
        <v>2</v>
      </c>
      <c r="H129" s="1">
        <v>1393.8058436014901</v>
      </c>
      <c r="I129" t="s">
        <v>175</v>
      </c>
      <c r="L129" s="1">
        <v>71.856274681231</v>
      </c>
      <c r="M129" s="1">
        <v>0</v>
      </c>
      <c r="N129" s="1">
        <v>4</v>
      </c>
      <c r="O129" s="1">
        <v>3.75</v>
      </c>
      <c r="T129" t="s">
        <v>35</v>
      </c>
      <c r="U129" s="1">
        <v>2.5</v>
      </c>
      <c r="V129" s="1">
        <v>76.856274681231</v>
      </c>
      <c r="W129" s="1">
        <v>307.425098724924</v>
      </c>
      <c r="X129" s="1">
        <v>1.4514609003750001</v>
      </c>
      <c r="Y129" s="1">
        <v>0</v>
      </c>
      <c r="AD129" t="s">
        <v>36</v>
      </c>
    </row>
    <row r="130" spans="1:30" x14ac:dyDescent="0.2">
      <c r="A130" s="1">
        <v>129</v>
      </c>
      <c r="B130" t="s">
        <v>173</v>
      </c>
      <c r="C130">
        <f t="shared" si="1"/>
        <v>2.5</v>
      </c>
      <c r="D130" t="s">
        <v>156</v>
      </c>
      <c r="E130" s="1">
        <v>4</v>
      </c>
      <c r="F130" s="1">
        <v>120</v>
      </c>
      <c r="G130" s="1">
        <v>1</v>
      </c>
      <c r="H130" s="1">
        <v>1376.54101966249</v>
      </c>
      <c r="I130" t="s">
        <v>176</v>
      </c>
      <c r="J130" s="1">
        <v>1376.54101966249</v>
      </c>
      <c r="K130" t="s">
        <v>176</v>
      </c>
      <c r="L130" s="1">
        <v>85.174394213954002</v>
      </c>
      <c r="M130" s="1">
        <v>1</v>
      </c>
      <c r="N130" s="1">
        <v>12</v>
      </c>
      <c r="O130" s="1">
        <v>3</v>
      </c>
      <c r="P130" s="1">
        <v>85.174394213954002</v>
      </c>
      <c r="Q130" s="1">
        <v>1</v>
      </c>
      <c r="R130" s="1">
        <v>12</v>
      </c>
      <c r="S130" s="1">
        <v>3</v>
      </c>
      <c r="T130" t="s">
        <v>35</v>
      </c>
      <c r="U130" s="1">
        <v>2.5</v>
      </c>
      <c r="V130" s="1">
        <v>90.591060880620006</v>
      </c>
      <c r="W130" s="1">
        <v>1087.09273056744</v>
      </c>
      <c r="X130" s="1">
        <v>19.771280668454001</v>
      </c>
      <c r="Y130" s="1">
        <v>0</v>
      </c>
      <c r="Z130" s="1">
        <v>90.591060880620006</v>
      </c>
      <c r="AA130" s="1">
        <v>1087.09273056744</v>
      </c>
      <c r="AB130" s="1">
        <v>19.771280668454001</v>
      </c>
      <c r="AC130" s="1">
        <v>0</v>
      </c>
      <c r="AD130" t="s">
        <v>36</v>
      </c>
    </row>
    <row r="131" spans="1:30" x14ac:dyDescent="0.2">
      <c r="A131" s="1">
        <v>70</v>
      </c>
      <c r="B131" t="s">
        <v>173</v>
      </c>
      <c r="C131">
        <f t="shared" ref="C131:C194" si="2">VALUE(_xlfn.TEXTBEFORE(_xlfn.TEXTAFTER(B131,"_",-1),".dat"))</f>
        <v>2.5</v>
      </c>
      <c r="D131" t="s">
        <v>156</v>
      </c>
      <c r="E131" s="1">
        <v>8</v>
      </c>
      <c r="F131" s="1">
        <v>60</v>
      </c>
      <c r="G131" s="1">
        <v>3</v>
      </c>
      <c r="H131" s="1">
        <v>1401</v>
      </c>
      <c r="I131" t="s">
        <v>174</v>
      </c>
      <c r="L131" s="1">
        <v>0</v>
      </c>
      <c r="M131" s="1">
        <v>0</v>
      </c>
      <c r="N131" s="1">
        <v>0</v>
      </c>
      <c r="O131" s="1">
        <v>0</v>
      </c>
      <c r="T131" t="s">
        <v>35</v>
      </c>
      <c r="U131" s="1">
        <v>2.5</v>
      </c>
      <c r="V131" s="1">
        <v>0</v>
      </c>
      <c r="W131" s="1">
        <v>0</v>
      </c>
      <c r="X131" s="1">
        <v>0</v>
      </c>
      <c r="Y131" s="1">
        <v>0</v>
      </c>
      <c r="AD131" t="s">
        <v>36</v>
      </c>
    </row>
    <row r="132" spans="1:30" x14ac:dyDescent="0.2">
      <c r="A132" s="1">
        <v>71</v>
      </c>
      <c r="B132" t="s">
        <v>173</v>
      </c>
      <c r="C132">
        <f t="shared" si="2"/>
        <v>2.5</v>
      </c>
      <c r="D132" t="s">
        <v>156</v>
      </c>
      <c r="E132" s="1">
        <v>8</v>
      </c>
      <c r="F132" s="1">
        <v>90</v>
      </c>
      <c r="G132" s="1">
        <v>3</v>
      </c>
      <c r="H132" s="1">
        <v>1393.8058436014901</v>
      </c>
      <c r="I132" t="s">
        <v>175</v>
      </c>
      <c r="L132" s="1">
        <v>71.856274681231</v>
      </c>
      <c r="M132" s="1">
        <v>0</v>
      </c>
      <c r="N132" s="1">
        <v>4</v>
      </c>
      <c r="O132" s="1">
        <v>3.75</v>
      </c>
      <c r="T132" t="s">
        <v>35</v>
      </c>
      <c r="U132" s="1">
        <v>2.5</v>
      </c>
      <c r="V132" s="1">
        <v>76.856274681231</v>
      </c>
      <c r="W132" s="1">
        <v>307.425098724924</v>
      </c>
      <c r="X132" s="1">
        <v>1.4514609003750001</v>
      </c>
      <c r="Y132" s="1">
        <v>0</v>
      </c>
      <c r="AD132" t="s">
        <v>36</v>
      </c>
    </row>
    <row r="133" spans="1:30" x14ac:dyDescent="0.2">
      <c r="A133" s="1">
        <v>72</v>
      </c>
      <c r="B133" t="s">
        <v>173</v>
      </c>
      <c r="C133">
        <f t="shared" si="2"/>
        <v>2.5</v>
      </c>
      <c r="D133" t="s">
        <v>156</v>
      </c>
      <c r="E133" s="1">
        <v>8</v>
      </c>
      <c r="F133" s="1">
        <v>120</v>
      </c>
      <c r="G133" s="1">
        <v>3</v>
      </c>
      <c r="H133" s="1">
        <v>1376.54101966249</v>
      </c>
      <c r="I133" t="s">
        <v>176</v>
      </c>
      <c r="J133" s="1">
        <v>1412.0570962859099</v>
      </c>
      <c r="K133" t="s">
        <v>177</v>
      </c>
      <c r="L133" s="1">
        <v>85.174394213954002</v>
      </c>
      <c r="M133" s="1">
        <v>1</v>
      </c>
      <c r="N133" s="1">
        <v>12</v>
      </c>
      <c r="O133" s="1">
        <v>3</v>
      </c>
      <c r="P133" s="1">
        <v>74.067429876233007</v>
      </c>
      <c r="Q133" s="1">
        <v>1</v>
      </c>
      <c r="R133" s="1">
        <v>9</v>
      </c>
      <c r="S133" s="1">
        <v>3.5555555555559999</v>
      </c>
      <c r="T133" t="s">
        <v>35</v>
      </c>
      <c r="U133" s="1">
        <v>2.5</v>
      </c>
      <c r="V133" s="1">
        <v>90.591060880620006</v>
      </c>
      <c r="W133" s="1">
        <v>1087.09273056744</v>
      </c>
      <c r="X133" s="1">
        <v>19.771280668454001</v>
      </c>
      <c r="Y133" s="1">
        <v>0</v>
      </c>
      <c r="Z133" s="1">
        <v>79.067429876233007</v>
      </c>
      <c r="AA133" s="1">
        <v>632.53943900986405</v>
      </c>
      <c r="AB133" s="1">
        <v>8.1321370357399996</v>
      </c>
      <c r="AC133" s="1">
        <v>0</v>
      </c>
      <c r="AD133" t="s">
        <v>36</v>
      </c>
    </row>
    <row r="134" spans="1:30" x14ac:dyDescent="0.2">
      <c r="A134" s="1">
        <v>73</v>
      </c>
      <c r="B134" t="s">
        <v>178</v>
      </c>
      <c r="C134">
        <f t="shared" si="2"/>
        <v>2</v>
      </c>
      <c r="D134" t="s">
        <v>156</v>
      </c>
      <c r="E134" s="1">
        <v>4</v>
      </c>
      <c r="F134" s="1">
        <v>60</v>
      </c>
      <c r="G134" s="1">
        <v>3</v>
      </c>
      <c r="H134" s="1">
        <v>1133</v>
      </c>
      <c r="I134" t="s">
        <v>179</v>
      </c>
      <c r="L134" s="1">
        <v>0</v>
      </c>
      <c r="M134" s="1">
        <v>0</v>
      </c>
      <c r="N134" s="1">
        <v>0</v>
      </c>
      <c r="O134" s="1">
        <v>0</v>
      </c>
      <c r="T134" t="s">
        <v>35</v>
      </c>
      <c r="U134" s="1">
        <v>2</v>
      </c>
      <c r="V134" s="1">
        <v>0</v>
      </c>
      <c r="W134" s="1">
        <v>0</v>
      </c>
      <c r="X134" s="1">
        <v>0</v>
      </c>
      <c r="Y134" s="1">
        <v>0</v>
      </c>
      <c r="AD134" t="s">
        <v>36</v>
      </c>
    </row>
    <row r="135" spans="1:30" x14ac:dyDescent="0.2">
      <c r="A135" s="1">
        <v>73</v>
      </c>
      <c r="B135" t="s">
        <v>178</v>
      </c>
      <c r="C135">
        <f t="shared" si="2"/>
        <v>2</v>
      </c>
      <c r="D135" t="s">
        <v>156</v>
      </c>
      <c r="E135" s="1">
        <v>4</v>
      </c>
      <c r="F135" s="1">
        <v>90</v>
      </c>
      <c r="G135" s="1">
        <v>3</v>
      </c>
      <c r="H135" s="1">
        <v>1133</v>
      </c>
      <c r="I135" t="s">
        <v>179</v>
      </c>
      <c r="L135" s="1">
        <v>0</v>
      </c>
      <c r="M135" s="1">
        <v>0</v>
      </c>
      <c r="N135" s="1">
        <v>0</v>
      </c>
      <c r="O135" s="1">
        <v>0</v>
      </c>
      <c r="T135" t="s">
        <v>35</v>
      </c>
      <c r="U135" s="1">
        <v>2</v>
      </c>
      <c r="V135" s="1">
        <v>0</v>
      </c>
      <c r="W135" s="1">
        <v>0</v>
      </c>
      <c r="X135" s="1">
        <v>0</v>
      </c>
      <c r="Y135" s="1">
        <v>0</v>
      </c>
      <c r="AD135" t="s">
        <v>36</v>
      </c>
    </row>
    <row r="136" spans="1:30" x14ac:dyDescent="0.2">
      <c r="A136" s="1">
        <v>75</v>
      </c>
      <c r="B136" t="s">
        <v>178</v>
      </c>
      <c r="C136">
        <f t="shared" si="2"/>
        <v>2</v>
      </c>
      <c r="D136" t="s">
        <v>156</v>
      </c>
      <c r="E136" s="1">
        <v>4</v>
      </c>
      <c r="F136" s="1">
        <v>120</v>
      </c>
      <c r="G136" s="1">
        <v>3</v>
      </c>
      <c r="H136" s="1">
        <v>1122</v>
      </c>
      <c r="I136" t="s">
        <v>180</v>
      </c>
      <c r="J136" s="1">
        <v>1122</v>
      </c>
      <c r="K136" t="s">
        <v>180</v>
      </c>
      <c r="L136" s="1">
        <v>80.385616612364998</v>
      </c>
      <c r="M136" s="1">
        <v>1</v>
      </c>
      <c r="N136" s="1">
        <v>2</v>
      </c>
      <c r="O136" s="1">
        <v>3.5</v>
      </c>
      <c r="P136" s="1">
        <v>80.385616612364998</v>
      </c>
      <c r="Q136" s="1">
        <v>1</v>
      </c>
      <c r="R136" s="1">
        <v>2</v>
      </c>
      <c r="S136" s="1">
        <v>3.5</v>
      </c>
      <c r="T136" t="s">
        <v>35</v>
      </c>
      <c r="U136" s="1">
        <v>2</v>
      </c>
      <c r="V136" s="1">
        <v>85.385616612364998</v>
      </c>
      <c r="W136" s="1">
        <v>170.77123322473</v>
      </c>
      <c r="X136" s="1">
        <v>0</v>
      </c>
      <c r="Y136" s="1">
        <v>0</v>
      </c>
      <c r="Z136" s="1">
        <v>85.385616612364998</v>
      </c>
      <c r="AA136" s="1">
        <v>170.77123322473</v>
      </c>
      <c r="AB136" s="1">
        <v>0</v>
      </c>
      <c r="AC136" s="1">
        <v>0</v>
      </c>
      <c r="AD136" t="s">
        <v>36</v>
      </c>
    </row>
    <row r="137" spans="1:30" x14ac:dyDescent="0.2">
      <c r="A137" s="1">
        <v>76</v>
      </c>
      <c r="B137" t="s">
        <v>178</v>
      </c>
      <c r="C137">
        <f t="shared" si="2"/>
        <v>2</v>
      </c>
      <c r="D137" t="s">
        <v>156</v>
      </c>
      <c r="E137" s="1">
        <v>8</v>
      </c>
      <c r="F137" s="1">
        <v>60</v>
      </c>
      <c r="G137" s="1">
        <v>3</v>
      </c>
      <c r="H137" s="1">
        <v>1133</v>
      </c>
      <c r="I137" t="s">
        <v>181</v>
      </c>
      <c r="L137" s="1">
        <v>0</v>
      </c>
      <c r="M137" s="1">
        <v>0</v>
      </c>
      <c r="N137" s="1">
        <v>0</v>
      </c>
      <c r="O137" s="1">
        <v>0</v>
      </c>
      <c r="T137" t="s">
        <v>35</v>
      </c>
      <c r="U137" s="1">
        <v>2</v>
      </c>
      <c r="V137" s="1">
        <v>0</v>
      </c>
      <c r="W137" s="1">
        <v>0</v>
      </c>
      <c r="X137" s="1">
        <v>0</v>
      </c>
      <c r="Y137" s="1">
        <v>0</v>
      </c>
      <c r="AD137" t="s">
        <v>36</v>
      </c>
    </row>
    <row r="138" spans="1:30" x14ac:dyDescent="0.2">
      <c r="A138" s="1">
        <v>137</v>
      </c>
      <c r="B138" t="s">
        <v>178</v>
      </c>
      <c r="C138">
        <f t="shared" si="2"/>
        <v>2</v>
      </c>
      <c r="D138" t="s">
        <v>156</v>
      </c>
      <c r="E138" s="1">
        <v>8</v>
      </c>
      <c r="F138" s="1">
        <v>90</v>
      </c>
      <c r="G138" s="1">
        <v>2</v>
      </c>
      <c r="I138" t="s">
        <v>180</v>
      </c>
      <c r="T138" t="s">
        <v>35</v>
      </c>
      <c r="U138" s="1">
        <v>2</v>
      </c>
      <c r="AD138" t="s">
        <v>36</v>
      </c>
    </row>
    <row r="139" spans="1:30" x14ac:dyDescent="0.2">
      <c r="A139" s="1">
        <v>78</v>
      </c>
      <c r="B139" t="s">
        <v>178</v>
      </c>
      <c r="C139">
        <f t="shared" si="2"/>
        <v>2</v>
      </c>
      <c r="D139" t="s">
        <v>156</v>
      </c>
      <c r="E139" s="1">
        <v>8</v>
      </c>
      <c r="F139" s="1">
        <v>120</v>
      </c>
      <c r="G139" s="1">
        <v>3</v>
      </c>
      <c r="H139" s="1">
        <v>1076.30165161069</v>
      </c>
      <c r="I139" t="s">
        <v>182</v>
      </c>
      <c r="J139" s="1">
        <v>1076.30165161069</v>
      </c>
      <c r="K139" t="s">
        <v>182</v>
      </c>
      <c r="L139" s="1">
        <v>79.885187500464994</v>
      </c>
      <c r="M139" s="1">
        <v>2</v>
      </c>
      <c r="N139" s="1">
        <v>8</v>
      </c>
      <c r="O139" s="1">
        <v>5</v>
      </c>
      <c r="P139" s="1">
        <v>79.885187500464994</v>
      </c>
      <c r="Q139" s="1">
        <v>2</v>
      </c>
      <c r="R139" s="1">
        <v>8</v>
      </c>
      <c r="S139" s="1">
        <v>5</v>
      </c>
      <c r="T139" t="s">
        <v>35</v>
      </c>
      <c r="U139" s="1">
        <v>2</v>
      </c>
      <c r="V139" s="1">
        <v>85.510187500464994</v>
      </c>
      <c r="W139" s="1">
        <v>684.08150000371995</v>
      </c>
      <c r="X139" s="1">
        <v>35.557244968825998</v>
      </c>
      <c r="Y139" s="1">
        <v>0</v>
      </c>
      <c r="Z139" s="1">
        <v>85.510187500464994</v>
      </c>
      <c r="AA139" s="1">
        <v>684.08150000371995</v>
      </c>
      <c r="AB139" s="1">
        <v>35.557244968825998</v>
      </c>
      <c r="AC139" s="1">
        <v>0</v>
      </c>
      <c r="AD139" t="s">
        <v>36</v>
      </c>
    </row>
    <row r="140" spans="1:30" x14ac:dyDescent="0.2">
      <c r="A140" s="1">
        <v>79</v>
      </c>
      <c r="B140" t="s">
        <v>183</v>
      </c>
      <c r="C140">
        <f t="shared" si="2"/>
        <v>3</v>
      </c>
      <c r="D140" t="s">
        <v>156</v>
      </c>
      <c r="E140" s="1">
        <v>4</v>
      </c>
      <c r="F140" s="1">
        <v>60</v>
      </c>
      <c r="G140" s="1">
        <v>1</v>
      </c>
      <c r="H140" s="1">
        <v>1485</v>
      </c>
      <c r="I140" t="s">
        <v>184</v>
      </c>
      <c r="L140" s="1">
        <v>0</v>
      </c>
      <c r="M140" s="1">
        <v>0</v>
      </c>
      <c r="N140" s="1">
        <v>0</v>
      </c>
      <c r="O140" s="1">
        <v>0</v>
      </c>
      <c r="T140" t="s">
        <v>35</v>
      </c>
      <c r="U140" s="1">
        <v>3</v>
      </c>
      <c r="V140" s="1">
        <v>0</v>
      </c>
      <c r="W140" s="1">
        <v>0</v>
      </c>
      <c r="X140" s="1">
        <v>0</v>
      </c>
      <c r="Y140" s="1">
        <v>0</v>
      </c>
      <c r="AD140" t="s">
        <v>36</v>
      </c>
    </row>
    <row r="141" spans="1:30" x14ac:dyDescent="0.2">
      <c r="A141" s="1">
        <v>140</v>
      </c>
      <c r="B141" t="s">
        <v>183</v>
      </c>
      <c r="C141">
        <f t="shared" si="2"/>
        <v>3</v>
      </c>
      <c r="D141" t="s">
        <v>156</v>
      </c>
      <c r="E141" s="1">
        <v>4</v>
      </c>
      <c r="F141" s="1">
        <v>90</v>
      </c>
      <c r="G141" s="1">
        <v>1</v>
      </c>
      <c r="H141" s="1">
        <v>1377</v>
      </c>
      <c r="I141" t="s">
        <v>185</v>
      </c>
      <c r="L141" s="1">
        <v>76.358376011746003</v>
      </c>
      <c r="M141" s="1">
        <v>0</v>
      </c>
      <c r="N141" s="1">
        <v>5</v>
      </c>
      <c r="O141" s="1">
        <v>3.6</v>
      </c>
      <c r="T141" t="s">
        <v>35</v>
      </c>
      <c r="U141" s="1">
        <v>3</v>
      </c>
      <c r="V141" s="1">
        <v>81.358376011746003</v>
      </c>
      <c r="W141" s="1">
        <v>406.79188005872999</v>
      </c>
      <c r="X141" s="1">
        <v>12.64081444212</v>
      </c>
      <c r="Y141" s="1">
        <v>0</v>
      </c>
      <c r="AD141" t="s">
        <v>36</v>
      </c>
    </row>
    <row r="142" spans="1:30" x14ac:dyDescent="0.2">
      <c r="A142" s="1">
        <v>81</v>
      </c>
      <c r="B142" t="s">
        <v>183</v>
      </c>
      <c r="C142">
        <f t="shared" si="2"/>
        <v>3</v>
      </c>
      <c r="D142" t="s">
        <v>156</v>
      </c>
      <c r="E142" s="1">
        <v>4</v>
      </c>
      <c r="F142" s="1">
        <v>120</v>
      </c>
      <c r="G142" s="1">
        <v>1</v>
      </c>
      <c r="H142" s="1">
        <v>1377</v>
      </c>
      <c r="I142" t="s">
        <v>185</v>
      </c>
      <c r="L142" s="1">
        <v>76.358376011746003</v>
      </c>
      <c r="M142" s="1">
        <v>0</v>
      </c>
      <c r="N142" s="1">
        <v>5</v>
      </c>
      <c r="O142" s="1">
        <v>3.6</v>
      </c>
      <c r="T142" t="s">
        <v>35</v>
      </c>
      <c r="U142" s="1">
        <v>3</v>
      </c>
      <c r="V142" s="1">
        <v>81.358376011746003</v>
      </c>
      <c r="W142" s="1">
        <v>406.79188005872999</v>
      </c>
      <c r="X142" s="1">
        <v>12.64081444212</v>
      </c>
      <c r="Y142" s="1">
        <v>0</v>
      </c>
      <c r="AD142" t="s">
        <v>36</v>
      </c>
    </row>
    <row r="143" spans="1:30" x14ac:dyDescent="0.2">
      <c r="A143" s="1">
        <v>82</v>
      </c>
      <c r="B143" t="s">
        <v>183</v>
      </c>
      <c r="C143">
        <f t="shared" si="2"/>
        <v>3</v>
      </c>
      <c r="D143" t="s">
        <v>156</v>
      </c>
      <c r="E143" s="1">
        <v>8</v>
      </c>
      <c r="F143" s="1">
        <v>60</v>
      </c>
      <c r="G143" s="1">
        <v>1</v>
      </c>
      <c r="H143" s="1">
        <v>1485</v>
      </c>
      <c r="I143" t="s">
        <v>186</v>
      </c>
      <c r="L143" s="1">
        <v>0</v>
      </c>
      <c r="M143" s="1">
        <v>0</v>
      </c>
      <c r="N143" s="1">
        <v>0</v>
      </c>
      <c r="O143" s="1">
        <v>0</v>
      </c>
      <c r="T143" t="s">
        <v>35</v>
      </c>
      <c r="U143" s="1">
        <v>3</v>
      </c>
      <c r="V143" s="1">
        <v>0</v>
      </c>
      <c r="W143" s="1">
        <v>0</v>
      </c>
      <c r="X143" s="1">
        <v>0</v>
      </c>
      <c r="Y143" s="1">
        <v>0</v>
      </c>
      <c r="AD143" t="s">
        <v>36</v>
      </c>
    </row>
    <row r="144" spans="1:30" x14ac:dyDescent="0.2">
      <c r="A144" s="1">
        <v>83</v>
      </c>
      <c r="B144" t="s">
        <v>183</v>
      </c>
      <c r="C144">
        <f t="shared" si="2"/>
        <v>3</v>
      </c>
      <c r="D144" t="s">
        <v>156</v>
      </c>
      <c r="E144" s="1">
        <v>8</v>
      </c>
      <c r="F144" s="1">
        <v>90</v>
      </c>
      <c r="G144" s="1">
        <v>1</v>
      </c>
      <c r="H144" s="1">
        <v>1377</v>
      </c>
      <c r="I144" t="s">
        <v>187</v>
      </c>
      <c r="L144" s="1">
        <v>69.928933865683007</v>
      </c>
      <c r="M144" s="1">
        <v>0</v>
      </c>
      <c r="N144" s="1">
        <v>6</v>
      </c>
      <c r="O144" s="1">
        <v>4.333333333333</v>
      </c>
      <c r="T144" t="s">
        <v>35</v>
      </c>
      <c r="U144" s="1">
        <v>3</v>
      </c>
      <c r="V144" s="1">
        <v>74.928933865683007</v>
      </c>
      <c r="W144" s="1">
        <v>449.57360319409798</v>
      </c>
      <c r="X144" s="1">
        <v>5.6798109215529999</v>
      </c>
      <c r="Y144" s="1">
        <v>0</v>
      </c>
      <c r="AD144" t="s">
        <v>36</v>
      </c>
    </row>
    <row r="145" spans="1:30" x14ac:dyDescent="0.2">
      <c r="A145" s="1">
        <v>84</v>
      </c>
      <c r="B145" t="s">
        <v>183</v>
      </c>
      <c r="C145">
        <f t="shared" si="2"/>
        <v>3</v>
      </c>
      <c r="D145" t="s">
        <v>156</v>
      </c>
      <c r="E145" s="1">
        <v>8</v>
      </c>
      <c r="F145" s="1">
        <v>120</v>
      </c>
      <c r="G145" s="1">
        <v>1</v>
      </c>
      <c r="H145" s="1">
        <v>1377</v>
      </c>
      <c r="I145" t="s">
        <v>185</v>
      </c>
      <c r="L145" s="1">
        <v>76.358376011746003</v>
      </c>
      <c r="M145" s="1">
        <v>0</v>
      </c>
      <c r="N145" s="1">
        <v>5</v>
      </c>
      <c r="O145" s="1">
        <v>3.6</v>
      </c>
      <c r="T145" t="s">
        <v>35</v>
      </c>
      <c r="U145" s="1">
        <v>3</v>
      </c>
      <c r="V145" s="1">
        <v>81.358376011746003</v>
      </c>
      <c r="W145" s="1">
        <v>406.79188005872999</v>
      </c>
      <c r="X145" s="1">
        <v>12.64081444212</v>
      </c>
      <c r="Y145" s="1">
        <v>0</v>
      </c>
      <c r="AD145" t="s">
        <v>36</v>
      </c>
    </row>
    <row r="146" spans="1:30" x14ac:dyDescent="0.2">
      <c r="A146" s="1">
        <v>85</v>
      </c>
      <c r="B146" t="s">
        <v>188</v>
      </c>
      <c r="C146">
        <f t="shared" si="2"/>
        <v>0.5</v>
      </c>
      <c r="D146" t="s">
        <v>32</v>
      </c>
      <c r="E146" s="1">
        <v>4</v>
      </c>
      <c r="F146" s="1">
        <v>60</v>
      </c>
      <c r="G146" s="1">
        <v>3</v>
      </c>
      <c r="H146" s="1">
        <v>401</v>
      </c>
      <c r="I146" t="s">
        <v>189</v>
      </c>
      <c r="J146" s="1">
        <v>433</v>
      </c>
      <c r="K146" t="s">
        <v>190</v>
      </c>
      <c r="L146" s="1">
        <v>34.663715633522003</v>
      </c>
      <c r="M146" s="1">
        <v>0</v>
      </c>
      <c r="N146" s="1">
        <v>2</v>
      </c>
      <c r="O146" s="1">
        <v>3</v>
      </c>
      <c r="P146" s="1">
        <v>20.396078054370999</v>
      </c>
      <c r="Q146" s="1">
        <v>1</v>
      </c>
      <c r="R146" s="1">
        <v>1</v>
      </c>
      <c r="S146" s="1">
        <v>3</v>
      </c>
      <c r="T146" t="s">
        <v>191</v>
      </c>
      <c r="U146" s="1">
        <v>0.5</v>
      </c>
      <c r="V146" s="1">
        <v>39.663715633522003</v>
      </c>
      <c r="W146" s="1">
        <v>79.327431267044005</v>
      </c>
      <c r="X146" s="1">
        <v>0</v>
      </c>
      <c r="Y146" s="1">
        <v>0</v>
      </c>
      <c r="Z146" s="1">
        <v>25.396078054370999</v>
      </c>
      <c r="AA146" s="1">
        <v>25.396078054370999</v>
      </c>
      <c r="AB146" s="1">
        <v>0</v>
      </c>
      <c r="AC146" s="1">
        <v>0</v>
      </c>
      <c r="AD146" t="s">
        <v>36</v>
      </c>
    </row>
    <row r="147" spans="1:30" x14ac:dyDescent="0.2">
      <c r="A147" s="1">
        <v>86</v>
      </c>
      <c r="B147" t="s">
        <v>188</v>
      </c>
      <c r="C147">
        <f t="shared" si="2"/>
        <v>0.5</v>
      </c>
      <c r="D147" t="s">
        <v>32</v>
      </c>
      <c r="E147" s="1">
        <v>4</v>
      </c>
      <c r="F147" s="1">
        <v>90</v>
      </c>
      <c r="G147" s="1">
        <v>3</v>
      </c>
      <c r="H147" s="1">
        <v>401</v>
      </c>
      <c r="I147" t="s">
        <v>192</v>
      </c>
      <c r="J147" s="1">
        <v>431.35428650297098</v>
      </c>
      <c r="K147" t="s">
        <v>193</v>
      </c>
      <c r="L147" s="1">
        <v>34.663715633522003</v>
      </c>
      <c r="M147" s="1">
        <v>0</v>
      </c>
      <c r="N147" s="1">
        <v>2</v>
      </c>
      <c r="O147" s="1">
        <v>3</v>
      </c>
      <c r="P147" s="1">
        <v>35.906029569856003</v>
      </c>
      <c r="Q147" s="1">
        <v>1</v>
      </c>
      <c r="R147" s="1">
        <v>3</v>
      </c>
      <c r="S147" s="1">
        <v>3.333333333333</v>
      </c>
      <c r="T147" t="s">
        <v>191</v>
      </c>
      <c r="U147" s="1">
        <v>0.5</v>
      </c>
      <c r="V147" s="1">
        <v>39.663715633522003</v>
      </c>
      <c r="W147" s="1">
        <v>79.327431267044005</v>
      </c>
      <c r="X147" s="1">
        <v>0</v>
      </c>
      <c r="Y147" s="1">
        <v>0</v>
      </c>
      <c r="Z147" s="1">
        <v>40.906029569856003</v>
      </c>
      <c r="AA147" s="1">
        <v>122.71808870956799</v>
      </c>
      <c r="AB147" s="1">
        <v>1.11809550099</v>
      </c>
      <c r="AC147" s="1">
        <v>0</v>
      </c>
      <c r="AD147" t="s">
        <v>36</v>
      </c>
    </row>
    <row r="148" spans="1:30" x14ac:dyDescent="0.2">
      <c r="A148" s="1">
        <v>87</v>
      </c>
      <c r="B148" t="s">
        <v>188</v>
      </c>
      <c r="C148">
        <f t="shared" si="2"/>
        <v>0.5</v>
      </c>
      <c r="D148" t="s">
        <v>32</v>
      </c>
      <c r="E148" s="1">
        <v>4</v>
      </c>
      <c r="F148" s="1">
        <v>120</v>
      </c>
      <c r="G148" s="1">
        <v>3</v>
      </c>
      <c r="H148" s="1">
        <v>401</v>
      </c>
      <c r="I148" t="s">
        <v>194</v>
      </c>
      <c r="J148" s="1">
        <v>424.13274595042202</v>
      </c>
      <c r="K148" t="s">
        <v>195</v>
      </c>
      <c r="L148" s="1">
        <v>34.663715633522003</v>
      </c>
      <c r="M148" s="1">
        <v>0</v>
      </c>
      <c r="N148" s="1">
        <v>2</v>
      </c>
      <c r="O148" s="1">
        <v>3</v>
      </c>
      <c r="P148" s="1">
        <v>48.196509737485997</v>
      </c>
      <c r="Q148" s="1">
        <v>1</v>
      </c>
      <c r="R148" s="1">
        <v>3</v>
      </c>
      <c r="S148" s="1">
        <v>3.333333333333</v>
      </c>
      <c r="T148" t="s">
        <v>191</v>
      </c>
      <c r="U148" s="1">
        <v>0.5</v>
      </c>
      <c r="V148" s="1">
        <v>39.663715633522003</v>
      </c>
      <c r="W148" s="1">
        <v>79.327431267044005</v>
      </c>
      <c r="X148" s="1">
        <v>0</v>
      </c>
      <c r="Y148" s="1">
        <v>0</v>
      </c>
      <c r="Z148" s="1">
        <v>53.196509737485997</v>
      </c>
      <c r="AA148" s="1">
        <v>159.58952921245799</v>
      </c>
      <c r="AB148" s="1">
        <v>1.377581983474</v>
      </c>
      <c r="AC148" s="1">
        <v>0</v>
      </c>
      <c r="AD148" t="s">
        <v>36</v>
      </c>
    </row>
    <row r="149" spans="1:30" x14ac:dyDescent="0.2">
      <c r="A149" s="1">
        <v>4</v>
      </c>
      <c r="B149" t="s">
        <v>188</v>
      </c>
      <c r="C149">
        <f t="shared" si="2"/>
        <v>0.5</v>
      </c>
      <c r="D149" t="s">
        <v>32</v>
      </c>
      <c r="E149" s="1">
        <v>8</v>
      </c>
      <c r="F149" s="1">
        <v>60</v>
      </c>
      <c r="G149" s="1">
        <v>1</v>
      </c>
      <c r="H149" s="1">
        <v>387.91602874178602</v>
      </c>
      <c r="I149" t="s">
        <v>196</v>
      </c>
      <c r="J149" s="1">
        <v>413</v>
      </c>
      <c r="K149" t="s">
        <v>197</v>
      </c>
      <c r="L149" s="1">
        <v>37.233343451735998</v>
      </c>
      <c r="M149" s="1">
        <v>0</v>
      </c>
      <c r="N149" s="1">
        <v>3</v>
      </c>
      <c r="O149" s="1">
        <v>6.333333333333</v>
      </c>
      <c r="P149" s="1">
        <v>30</v>
      </c>
      <c r="Q149" s="1">
        <v>1</v>
      </c>
      <c r="R149" s="1">
        <v>1</v>
      </c>
      <c r="S149" s="1">
        <v>3</v>
      </c>
      <c r="T149" t="s">
        <v>191</v>
      </c>
      <c r="U149" s="1">
        <v>0.5</v>
      </c>
      <c r="V149" s="1">
        <v>42.233343451735998</v>
      </c>
      <c r="W149" s="1">
        <v>126.700030355208</v>
      </c>
      <c r="X149" s="1">
        <v>4.5105189566249999</v>
      </c>
      <c r="Y149" s="1">
        <v>0</v>
      </c>
      <c r="Z149" s="1">
        <v>35</v>
      </c>
      <c r="AA149" s="1">
        <v>35</v>
      </c>
      <c r="AB149" s="1">
        <v>0</v>
      </c>
      <c r="AC149" s="1">
        <v>0</v>
      </c>
      <c r="AD149" t="s">
        <v>36</v>
      </c>
    </row>
    <row r="150" spans="1:30" x14ac:dyDescent="0.2">
      <c r="A150" s="1">
        <v>89</v>
      </c>
      <c r="B150" t="s">
        <v>188</v>
      </c>
      <c r="C150">
        <f t="shared" si="2"/>
        <v>0.5</v>
      </c>
      <c r="D150" t="s">
        <v>32</v>
      </c>
      <c r="E150" s="1">
        <v>8</v>
      </c>
      <c r="F150" s="1">
        <v>90</v>
      </c>
      <c r="G150" s="1">
        <v>3</v>
      </c>
      <c r="H150" s="1">
        <v>387.91602874178602</v>
      </c>
      <c r="I150" t="s">
        <v>196</v>
      </c>
      <c r="J150" s="1">
        <v>398.11077027627499</v>
      </c>
      <c r="K150" t="s">
        <v>198</v>
      </c>
      <c r="L150" s="1">
        <v>37.233343451735998</v>
      </c>
      <c r="M150" s="1">
        <v>0</v>
      </c>
      <c r="N150" s="1">
        <v>3</v>
      </c>
      <c r="O150" s="1">
        <v>6.333333333333</v>
      </c>
      <c r="P150" s="1">
        <v>34.663715633522003</v>
      </c>
      <c r="Q150" s="1">
        <v>1</v>
      </c>
      <c r="R150" s="1">
        <v>2</v>
      </c>
      <c r="S150" s="1">
        <v>7.5</v>
      </c>
      <c r="T150" t="s">
        <v>191</v>
      </c>
      <c r="U150" s="1">
        <v>0.5</v>
      </c>
      <c r="V150" s="1">
        <v>42.233343451735998</v>
      </c>
      <c r="W150" s="1">
        <v>126.700030355208</v>
      </c>
      <c r="X150" s="1">
        <v>4.5105189566249999</v>
      </c>
      <c r="Y150" s="1">
        <v>0</v>
      </c>
      <c r="Z150" s="1">
        <v>39.663715633522003</v>
      </c>
      <c r="AA150" s="1">
        <v>79.327431267044005</v>
      </c>
      <c r="AB150" s="1">
        <v>4.5553851381369999</v>
      </c>
      <c r="AC150" s="1">
        <v>0</v>
      </c>
      <c r="AD150" t="s">
        <v>36</v>
      </c>
    </row>
    <row r="151" spans="1:30" x14ac:dyDescent="0.2">
      <c r="A151" s="1">
        <v>90</v>
      </c>
      <c r="B151" t="s">
        <v>188</v>
      </c>
      <c r="C151">
        <f t="shared" si="2"/>
        <v>0.5</v>
      </c>
      <c r="D151" t="s">
        <v>32</v>
      </c>
      <c r="E151" s="1">
        <v>8</v>
      </c>
      <c r="F151" s="1">
        <v>120</v>
      </c>
      <c r="G151" s="1">
        <v>3</v>
      </c>
      <c r="H151" s="1">
        <v>387.91602874178602</v>
      </c>
      <c r="I151" t="s">
        <v>196</v>
      </c>
      <c r="J151" s="1">
        <v>398.11077027627499</v>
      </c>
      <c r="K151" t="s">
        <v>199</v>
      </c>
      <c r="L151" s="1">
        <v>37.233343451735998</v>
      </c>
      <c r="M151" s="1">
        <v>0</v>
      </c>
      <c r="N151" s="1">
        <v>3</v>
      </c>
      <c r="O151" s="1">
        <v>6.333333333333</v>
      </c>
      <c r="P151" s="1">
        <v>34.663715633522003</v>
      </c>
      <c r="Q151" s="1">
        <v>1</v>
      </c>
      <c r="R151" s="1">
        <v>2</v>
      </c>
      <c r="S151" s="1">
        <v>8</v>
      </c>
      <c r="T151" t="s">
        <v>191</v>
      </c>
      <c r="U151" s="1">
        <v>0.5</v>
      </c>
      <c r="V151" s="1">
        <v>42.233343451735998</v>
      </c>
      <c r="W151" s="1">
        <v>126.700030355208</v>
      </c>
      <c r="X151" s="1">
        <v>4.5105189566249999</v>
      </c>
      <c r="Y151" s="1">
        <v>0</v>
      </c>
      <c r="Z151" s="1">
        <v>39.663715633522003</v>
      </c>
      <c r="AA151" s="1">
        <v>79.327431267044005</v>
      </c>
      <c r="AB151" s="1">
        <v>8.3318578167609996</v>
      </c>
      <c r="AC151" s="1">
        <v>0</v>
      </c>
      <c r="AD151" t="s">
        <v>36</v>
      </c>
    </row>
    <row r="152" spans="1:30" x14ac:dyDescent="0.2">
      <c r="B152" t="s">
        <v>200</v>
      </c>
      <c r="C152">
        <f t="shared" si="2"/>
        <v>1.5</v>
      </c>
      <c r="D152" t="s">
        <v>32</v>
      </c>
      <c r="E152" s="1">
        <v>4</v>
      </c>
      <c r="F152" s="1">
        <v>60</v>
      </c>
      <c r="H152" s="1">
        <v>637</v>
      </c>
      <c r="I152" t="s">
        <v>201</v>
      </c>
      <c r="J152" s="1">
        <v>719.11724276862401</v>
      </c>
      <c r="K152" t="s">
        <v>202</v>
      </c>
      <c r="L152" s="1">
        <v>0</v>
      </c>
      <c r="M152" s="1">
        <v>0</v>
      </c>
      <c r="N152" s="1">
        <v>0</v>
      </c>
      <c r="O152" s="1">
        <v>0</v>
      </c>
      <c r="P152" s="1">
        <v>33.880297382864001</v>
      </c>
      <c r="Q152" s="1">
        <v>1</v>
      </c>
      <c r="R152" s="1">
        <v>2</v>
      </c>
      <c r="S152" s="1">
        <v>3.5</v>
      </c>
      <c r="T152" t="s">
        <v>191</v>
      </c>
      <c r="U152" s="1">
        <v>1.5</v>
      </c>
      <c r="V152" s="1">
        <v>0</v>
      </c>
      <c r="W152" s="1">
        <v>0</v>
      </c>
      <c r="X152" s="1">
        <v>0</v>
      </c>
      <c r="Y152" s="1">
        <v>0</v>
      </c>
      <c r="Z152" s="1">
        <v>38.880297382864001</v>
      </c>
      <c r="AA152" s="1">
        <v>77.760594765728001</v>
      </c>
      <c r="AB152" s="1">
        <v>1.058621384312</v>
      </c>
      <c r="AC152" s="1">
        <v>0</v>
      </c>
      <c r="AD152" t="s">
        <v>54</v>
      </c>
    </row>
    <row r="153" spans="1:30" x14ac:dyDescent="0.2">
      <c r="B153" t="s">
        <v>200</v>
      </c>
      <c r="C153">
        <f t="shared" si="2"/>
        <v>1.5</v>
      </c>
      <c r="D153" t="s">
        <v>32</v>
      </c>
      <c r="E153" s="1">
        <v>4</v>
      </c>
      <c r="F153" s="1">
        <v>90</v>
      </c>
      <c r="H153" s="1">
        <v>637</v>
      </c>
      <c r="I153" t="s">
        <v>201</v>
      </c>
      <c r="J153" s="1">
        <v>719.11724276862401</v>
      </c>
      <c r="K153" t="s">
        <v>202</v>
      </c>
      <c r="L153" s="1">
        <v>0</v>
      </c>
      <c r="M153" s="1">
        <v>0</v>
      </c>
      <c r="N153" s="1">
        <v>0</v>
      </c>
      <c r="O153" s="1">
        <v>0</v>
      </c>
      <c r="P153" s="1">
        <v>33.880297382864001</v>
      </c>
      <c r="Q153" s="1">
        <v>1</v>
      </c>
      <c r="R153" s="1">
        <v>2</v>
      </c>
      <c r="S153" s="1">
        <v>3.5</v>
      </c>
      <c r="T153" t="s">
        <v>191</v>
      </c>
      <c r="U153" s="1">
        <v>1.5</v>
      </c>
      <c r="V153" s="1">
        <v>0</v>
      </c>
      <c r="W153" s="1">
        <v>0</v>
      </c>
      <c r="X153" s="1">
        <v>0</v>
      </c>
      <c r="Y153" s="1">
        <v>0</v>
      </c>
      <c r="Z153" s="1">
        <v>38.880297382864001</v>
      </c>
      <c r="AA153" s="1">
        <v>77.760594765728001</v>
      </c>
      <c r="AB153" s="1">
        <v>1.058621384312</v>
      </c>
      <c r="AC153" s="1">
        <v>0</v>
      </c>
      <c r="AD153" t="s">
        <v>54</v>
      </c>
    </row>
    <row r="154" spans="1:30" x14ac:dyDescent="0.2">
      <c r="B154" t="s">
        <v>200</v>
      </c>
      <c r="C154">
        <f t="shared" si="2"/>
        <v>1.5</v>
      </c>
      <c r="D154" t="s">
        <v>32</v>
      </c>
      <c r="E154" s="1">
        <v>4</v>
      </c>
      <c r="F154" s="1">
        <v>120</v>
      </c>
      <c r="H154" s="1">
        <v>637</v>
      </c>
      <c r="I154" t="s">
        <v>203</v>
      </c>
      <c r="J154" s="1">
        <v>665.61552812808804</v>
      </c>
      <c r="K154" t="s">
        <v>204</v>
      </c>
      <c r="L154" s="1">
        <v>0</v>
      </c>
      <c r="M154" s="1">
        <v>0</v>
      </c>
      <c r="N154" s="1">
        <v>0</v>
      </c>
      <c r="O154" s="1">
        <v>0</v>
      </c>
      <c r="P154" s="1">
        <v>45.466613786015998</v>
      </c>
      <c r="Q154" s="1">
        <v>2</v>
      </c>
      <c r="R154" s="1">
        <v>6</v>
      </c>
      <c r="S154" s="1">
        <v>3.166666666667</v>
      </c>
      <c r="T154" t="s">
        <v>191</v>
      </c>
      <c r="U154" s="1">
        <v>1.5</v>
      </c>
      <c r="V154" s="1">
        <v>0</v>
      </c>
      <c r="W154" s="1">
        <v>0</v>
      </c>
      <c r="X154" s="1">
        <v>0</v>
      </c>
      <c r="Y154" s="1">
        <v>0</v>
      </c>
      <c r="Z154" s="1">
        <v>50.466613786015998</v>
      </c>
      <c r="AA154" s="1">
        <v>302.79968271609602</v>
      </c>
      <c r="AB154" s="1">
        <v>5.0283986606079996</v>
      </c>
      <c r="AC154" s="1">
        <v>0</v>
      </c>
      <c r="AD154" t="s">
        <v>54</v>
      </c>
    </row>
    <row r="155" spans="1:30" x14ac:dyDescent="0.2">
      <c r="A155" s="1">
        <v>10</v>
      </c>
      <c r="B155" t="s">
        <v>200</v>
      </c>
      <c r="C155">
        <f t="shared" si="2"/>
        <v>1.5</v>
      </c>
      <c r="D155" t="s">
        <v>32</v>
      </c>
      <c r="E155" s="1">
        <v>8</v>
      </c>
      <c r="F155" s="1">
        <v>60</v>
      </c>
      <c r="G155" s="1">
        <v>1</v>
      </c>
      <c r="H155" s="1">
        <v>630.11077027627505</v>
      </c>
      <c r="I155" t="s">
        <v>205</v>
      </c>
      <c r="L155" s="1">
        <v>34.275537155537997</v>
      </c>
      <c r="M155" s="1">
        <v>0</v>
      </c>
      <c r="N155" s="1">
        <v>7</v>
      </c>
      <c r="O155" s="1">
        <v>3.714285714286</v>
      </c>
      <c r="T155" t="s">
        <v>191</v>
      </c>
      <c r="U155" s="1">
        <v>1.5</v>
      </c>
      <c r="V155" s="1">
        <v>39.275537155537997</v>
      </c>
      <c r="W155" s="1">
        <v>274.92876008876601</v>
      </c>
      <c r="X155" s="1">
        <v>4.1586814680390001</v>
      </c>
      <c r="Y155" s="1">
        <v>0</v>
      </c>
      <c r="AD155" t="s">
        <v>36</v>
      </c>
    </row>
    <row r="156" spans="1:30" x14ac:dyDescent="0.2">
      <c r="B156" t="s">
        <v>200</v>
      </c>
      <c r="C156">
        <f t="shared" si="2"/>
        <v>1.5</v>
      </c>
      <c r="D156" t="s">
        <v>32</v>
      </c>
      <c r="E156" s="1">
        <v>8</v>
      </c>
      <c r="F156" s="1">
        <v>90</v>
      </c>
      <c r="H156" s="1">
        <v>630.11077027627505</v>
      </c>
      <c r="I156" t="s">
        <v>205</v>
      </c>
      <c r="J156" s="1">
        <v>665.61552812808804</v>
      </c>
      <c r="K156" t="s">
        <v>204</v>
      </c>
      <c r="L156" s="1">
        <v>34.275537155537997</v>
      </c>
      <c r="M156" s="1">
        <v>0</v>
      </c>
      <c r="N156" s="1">
        <v>7</v>
      </c>
      <c r="O156" s="1">
        <v>3.714285714286</v>
      </c>
      <c r="P156" s="1">
        <v>45.466613786015998</v>
      </c>
      <c r="Q156" s="1">
        <v>2</v>
      </c>
      <c r="R156" s="1">
        <v>6</v>
      </c>
      <c r="S156" s="1">
        <v>3.166666666667</v>
      </c>
      <c r="T156" t="s">
        <v>191</v>
      </c>
      <c r="U156" s="1">
        <v>1.5</v>
      </c>
      <c r="V156" s="1">
        <v>39.275537155537997</v>
      </c>
      <c r="W156" s="1">
        <v>274.92876008876601</v>
      </c>
      <c r="X156" s="1">
        <v>4.1586814680390001</v>
      </c>
      <c r="Y156" s="1">
        <v>0</v>
      </c>
      <c r="Z156" s="1">
        <v>50.466613786015998</v>
      </c>
      <c r="AA156" s="1">
        <v>302.79968271609602</v>
      </c>
      <c r="AB156" s="1">
        <v>5.0283986606079996</v>
      </c>
      <c r="AC156" s="1">
        <v>0</v>
      </c>
      <c r="AD156" t="s">
        <v>54</v>
      </c>
    </row>
    <row r="157" spans="1:30" x14ac:dyDescent="0.2">
      <c r="B157" t="s">
        <v>200</v>
      </c>
      <c r="C157">
        <f t="shared" si="2"/>
        <v>1.5</v>
      </c>
      <c r="D157" t="s">
        <v>32</v>
      </c>
      <c r="E157" s="1">
        <v>8</v>
      </c>
      <c r="F157" s="1">
        <v>120</v>
      </c>
      <c r="H157" s="1">
        <v>630.11077027627505</v>
      </c>
      <c r="I157" t="s">
        <v>205</v>
      </c>
      <c r="J157" s="1">
        <v>665.61552812808804</v>
      </c>
      <c r="K157" t="s">
        <v>204</v>
      </c>
      <c r="L157" s="1">
        <v>34.275537155537997</v>
      </c>
      <c r="M157" s="1">
        <v>0</v>
      </c>
      <c r="N157" s="1">
        <v>7</v>
      </c>
      <c r="O157" s="1">
        <v>3.714285714286</v>
      </c>
      <c r="P157" s="1">
        <v>45.466613786015998</v>
      </c>
      <c r="Q157" s="1">
        <v>2</v>
      </c>
      <c r="R157" s="1">
        <v>6</v>
      </c>
      <c r="S157" s="1">
        <v>3.166666666667</v>
      </c>
      <c r="T157" t="s">
        <v>191</v>
      </c>
      <c r="U157" s="1">
        <v>1.5</v>
      </c>
      <c r="V157" s="1">
        <v>39.275537155537997</v>
      </c>
      <c r="W157" s="1">
        <v>274.92876008876601</v>
      </c>
      <c r="X157" s="1">
        <v>4.1586814680390001</v>
      </c>
      <c r="Y157" s="1">
        <v>0</v>
      </c>
      <c r="Z157" s="1">
        <v>50.466613786015998</v>
      </c>
      <c r="AA157" s="1">
        <v>302.79968271609602</v>
      </c>
      <c r="AB157" s="1">
        <v>5.0283986606079996</v>
      </c>
      <c r="AC157" s="1">
        <v>0</v>
      </c>
      <c r="AD157" t="s">
        <v>54</v>
      </c>
    </row>
    <row r="158" spans="1:30" x14ac:dyDescent="0.2">
      <c r="A158" s="1">
        <v>13</v>
      </c>
      <c r="B158" t="s">
        <v>206</v>
      </c>
      <c r="C158">
        <f t="shared" si="2"/>
        <v>1</v>
      </c>
      <c r="D158" t="s">
        <v>32</v>
      </c>
      <c r="E158" s="1">
        <v>4</v>
      </c>
      <c r="F158" s="1">
        <v>60</v>
      </c>
      <c r="G158" s="1">
        <v>1</v>
      </c>
      <c r="H158" s="1">
        <v>518.11077027627505</v>
      </c>
      <c r="I158" t="s">
        <v>207</v>
      </c>
      <c r="L158" s="1">
        <v>35.480466049362001</v>
      </c>
      <c r="M158" s="1">
        <v>0</v>
      </c>
      <c r="N158" s="1">
        <v>7</v>
      </c>
      <c r="O158" s="1">
        <v>3.285714285714</v>
      </c>
      <c r="T158" t="s">
        <v>191</v>
      </c>
      <c r="U158" s="1">
        <v>1</v>
      </c>
      <c r="V158" s="1">
        <v>40.480466049362001</v>
      </c>
      <c r="W158" s="1">
        <v>283.363262345534</v>
      </c>
      <c r="X158" s="1">
        <v>3.7301100394679998</v>
      </c>
      <c r="Y158" s="1">
        <v>0</v>
      </c>
      <c r="AD158" t="s">
        <v>36</v>
      </c>
    </row>
    <row r="159" spans="1:30" x14ac:dyDescent="0.2">
      <c r="B159" t="s">
        <v>206</v>
      </c>
      <c r="C159">
        <f t="shared" si="2"/>
        <v>1</v>
      </c>
      <c r="D159" t="s">
        <v>32</v>
      </c>
      <c r="E159" s="1">
        <v>4</v>
      </c>
      <c r="F159" s="1">
        <v>90</v>
      </c>
      <c r="H159" s="1">
        <v>496.05551275464001</v>
      </c>
      <c r="I159" t="s">
        <v>208</v>
      </c>
      <c r="J159" s="1">
        <v>496.05551275464001</v>
      </c>
      <c r="K159" t="s">
        <v>208</v>
      </c>
      <c r="L159" s="1">
        <v>49.974796365392002</v>
      </c>
      <c r="M159" s="1">
        <v>1</v>
      </c>
      <c r="N159" s="1">
        <v>4</v>
      </c>
      <c r="O159" s="1">
        <v>3.25</v>
      </c>
      <c r="P159" s="1">
        <v>49.974796365392002</v>
      </c>
      <c r="Q159" s="1">
        <v>1</v>
      </c>
      <c r="R159" s="1">
        <v>4</v>
      </c>
      <c r="S159" s="1">
        <v>3.25</v>
      </c>
      <c r="T159" t="s">
        <v>191</v>
      </c>
      <c r="U159" s="1">
        <v>1</v>
      </c>
      <c r="V159" s="1">
        <v>56.224796365392002</v>
      </c>
      <c r="W159" s="1">
        <v>224.89918546156801</v>
      </c>
      <c r="X159" s="1">
        <v>3.9878905268049998</v>
      </c>
      <c r="Y159" s="1">
        <v>0</v>
      </c>
      <c r="Z159" s="1">
        <v>56.224796365392002</v>
      </c>
      <c r="AA159" s="1">
        <v>224.89918546156801</v>
      </c>
      <c r="AB159" s="1">
        <v>3.9878905268049998</v>
      </c>
      <c r="AC159" s="1">
        <v>0</v>
      </c>
      <c r="AD159" t="s">
        <v>54</v>
      </c>
    </row>
    <row r="160" spans="1:30" x14ac:dyDescent="0.2">
      <c r="B160" t="s">
        <v>206</v>
      </c>
      <c r="C160">
        <f t="shared" si="2"/>
        <v>1</v>
      </c>
      <c r="D160" t="s">
        <v>32</v>
      </c>
      <c r="E160" s="1">
        <v>4</v>
      </c>
      <c r="F160" s="1">
        <v>120</v>
      </c>
      <c r="H160" s="1">
        <v>496.05551275464001</v>
      </c>
      <c r="I160" t="s">
        <v>208</v>
      </c>
      <c r="J160" s="1">
        <v>496.05551275464001</v>
      </c>
      <c r="K160" t="s">
        <v>208</v>
      </c>
      <c r="L160" s="1">
        <v>49.974796365392002</v>
      </c>
      <c r="M160" s="1">
        <v>1</v>
      </c>
      <c r="N160" s="1">
        <v>4</v>
      </c>
      <c r="O160" s="1">
        <v>3.25</v>
      </c>
      <c r="P160" s="1">
        <v>49.974796365392002</v>
      </c>
      <c r="Q160" s="1">
        <v>1</v>
      </c>
      <c r="R160" s="1">
        <v>4</v>
      </c>
      <c r="S160" s="1">
        <v>3.25</v>
      </c>
      <c r="T160" t="s">
        <v>191</v>
      </c>
      <c r="U160" s="1">
        <v>1</v>
      </c>
      <c r="V160" s="1">
        <v>56.224796365392002</v>
      </c>
      <c r="W160" s="1">
        <v>224.89918546156801</v>
      </c>
      <c r="X160" s="1">
        <v>3.9878905268049998</v>
      </c>
      <c r="Y160" s="1">
        <v>0</v>
      </c>
      <c r="Z160" s="1">
        <v>56.224796365392002</v>
      </c>
      <c r="AA160" s="1">
        <v>224.89918546156801</v>
      </c>
      <c r="AB160" s="1">
        <v>3.9878905268049998</v>
      </c>
      <c r="AC160" s="1">
        <v>0</v>
      </c>
      <c r="AD160" t="s">
        <v>54</v>
      </c>
    </row>
    <row r="161" spans="1:30" x14ac:dyDescent="0.2">
      <c r="A161" s="1">
        <v>16</v>
      </c>
      <c r="B161" t="s">
        <v>206</v>
      </c>
      <c r="C161">
        <f t="shared" si="2"/>
        <v>1</v>
      </c>
      <c r="D161" t="s">
        <v>32</v>
      </c>
      <c r="E161" s="1">
        <v>8</v>
      </c>
      <c r="F161" s="1">
        <v>60</v>
      </c>
      <c r="G161" s="1">
        <v>1</v>
      </c>
      <c r="H161" s="1">
        <v>502.24359879532102</v>
      </c>
      <c r="I161" t="s">
        <v>209</v>
      </c>
      <c r="L161" s="1">
        <v>37.342946885935</v>
      </c>
      <c r="M161" s="1">
        <v>0</v>
      </c>
      <c r="N161" s="1">
        <v>5</v>
      </c>
      <c r="O161" s="1">
        <v>4.8</v>
      </c>
      <c r="T161" t="s">
        <v>191</v>
      </c>
      <c r="U161" s="1">
        <v>1</v>
      </c>
      <c r="V161" s="1">
        <v>42.342946885935</v>
      </c>
      <c r="W161" s="1">
        <v>211.71473442967499</v>
      </c>
      <c r="X161" s="1">
        <v>8.3927287883979993</v>
      </c>
      <c r="Y161" s="1">
        <v>0</v>
      </c>
      <c r="AD161" t="s">
        <v>36</v>
      </c>
    </row>
    <row r="162" spans="1:30" x14ac:dyDescent="0.2">
      <c r="B162" t="s">
        <v>206</v>
      </c>
      <c r="C162">
        <f t="shared" si="2"/>
        <v>1</v>
      </c>
      <c r="D162" t="s">
        <v>32</v>
      </c>
      <c r="E162" s="1">
        <v>8</v>
      </c>
      <c r="F162" s="1">
        <v>90</v>
      </c>
      <c r="H162" s="1">
        <v>496.05551275464001</v>
      </c>
      <c r="I162" t="s">
        <v>208</v>
      </c>
      <c r="J162" s="1">
        <v>496.05551275464001</v>
      </c>
      <c r="K162" t="s">
        <v>208</v>
      </c>
      <c r="L162" s="1">
        <v>49.974796365392002</v>
      </c>
      <c r="M162" s="1">
        <v>1</v>
      </c>
      <c r="N162" s="1">
        <v>4</v>
      </c>
      <c r="O162" s="1">
        <v>3.25</v>
      </c>
      <c r="P162" s="1">
        <v>49.974796365392002</v>
      </c>
      <c r="Q162" s="1">
        <v>1</v>
      </c>
      <c r="R162" s="1">
        <v>4</v>
      </c>
      <c r="S162" s="1">
        <v>3.25</v>
      </c>
      <c r="T162" t="s">
        <v>191</v>
      </c>
      <c r="U162" s="1">
        <v>1</v>
      </c>
      <c r="V162" s="1">
        <v>56.224796365392002</v>
      </c>
      <c r="W162" s="1">
        <v>224.89918546156801</v>
      </c>
      <c r="X162" s="1">
        <v>3.9878905268049998</v>
      </c>
      <c r="Y162" s="1">
        <v>0</v>
      </c>
      <c r="Z162" s="1">
        <v>56.224796365392002</v>
      </c>
      <c r="AA162" s="1">
        <v>224.89918546156801</v>
      </c>
      <c r="AB162" s="1">
        <v>3.9878905268049998</v>
      </c>
      <c r="AC162" s="1">
        <v>0</v>
      </c>
      <c r="AD162" t="s">
        <v>54</v>
      </c>
    </row>
    <row r="163" spans="1:30" x14ac:dyDescent="0.2">
      <c r="A163" s="1">
        <v>18</v>
      </c>
      <c r="B163" t="s">
        <v>206</v>
      </c>
      <c r="C163">
        <f t="shared" si="2"/>
        <v>1</v>
      </c>
      <c r="D163" t="s">
        <v>32</v>
      </c>
      <c r="E163" s="1">
        <v>8</v>
      </c>
      <c r="F163" s="1">
        <v>120</v>
      </c>
      <c r="G163" s="1">
        <v>1</v>
      </c>
      <c r="H163" s="1">
        <v>487.301651610693</v>
      </c>
      <c r="I163" t="s">
        <v>210</v>
      </c>
      <c r="J163" s="1">
        <v>487.301651610693</v>
      </c>
      <c r="K163" t="s">
        <v>210</v>
      </c>
      <c r="L163" s="1">
        <v>47.742945067004001</v>
      </c>
      <c r="M163" s="1">
        <v>1</v>
      </c>
      <c r="N163" s="1">
        <v>5</v>
      </c>
      <c r="O163" s="1">
        <v>5</v>
      </c>
      <c r="P163" s="1">
        <v>47.742945067004001</v>
      </c>
      <c r="Q163" s="1">
        <v>1</v>
      </c>
      <c r="R163" s="1">
        <v>5</v>
      </c>
      <c r="S163" s="1">
        <v>5</v>
      </c>
      <c r="T163" t="s">
        <v>191</v>
      </c>
      <c r="U163" s="1">
        <v>1</v>
      </c>
      <c r="V163" s="1">
        <v>53.742945067004001</v>
      </c>
      <c r="W163" s="1">
        <v>268.71472533501998</v>
      </c>
      <c r="X163" s="1">
        <v>5.3882346646689996</v>
      </c>
      <c r="Y163" s="1">
        <v>0.4444371795</v>
      </c>
      <c r="Z163" s="1">
        <v>53.742945067004001</v>
      </c>
      <c r="AA163" s="1">
        <v>268.71472533501998</v>
      </c>
      <c r="AB163" s="1">
        <v>5.3882346646689996</v>
      </c>
      <c r="AC163" s="1">
        <v>0.4444371795</v>
      </c>
      <c r="AD163" t="s">
        <v>36</v>
      </c>
    </row>
    <row r="164" spans="1:30" x14ac:dyDescent="0.2">
      <c r="A164" s="1">
        <v>19</v>
      </c>
      <c r="B164" t="s">
        <v>211</v>
      </c>
      <c r="C164">
        <f t="shared" si="2"/>
        <v>2.5</v>
      </c>
      <c r="D164" t="s">
        <v>32</v>
      </c>
      <c r="E164" s="1">
        <v>4</v>
      </c>
      <c r="F164" s="1">
        <v>60</v>
      </c>
      <c r="G164" s="1">
        <v>1</v>
      </c>
      <c r="H164" s="1">
        <v>807.11077027627505</v>
      </c>
      <c r="I164" t="s">
        <v>212</v>
      </c>
      <c r="L164" s="1">
        <v>37.264072579607998</v>
      </c>
      <c r="M164" s="1">
        <v>0</v>
      </c>
      <c r="N164" s="1">
        <v>6</v>
      </c>
      <c r="O164" s="1">
        <v>3</v>
      </c>
      <c r="T164" t="s">
        <v>191</v>
      </c>
      <c r="U164" s="1">
        <v>2.5</v>
      </c>
      <c r="V164" s="1">
        <v>42.264072579607998</v>
      </c>
      <c r="W164" s="1">
        <v>253.58443547764799</v>
      </c>
      <c r="X164" s="1">
        <v>4.9543830673939997</v>
      </c>
      <c r="Y164" s="1">
        <v>0</v>
      </c>
      <c r="AD164" t="s">
        <v>36</v>
      </c>
    </row>
    <row r="165" spans="1:30" x14ac:dyDescent="0.2">
      <c r="A165" s="1">
        <v>20</v>
      </c>
      <c r="B165" t="s">
        <v>211</v>
      </c>
      <c r="C165">
        <f t="shared" si="2"/>
        <v>2.5</v>
      </c>
      <c r="D165" t="s">
        <v>32</v>
      </c>
      <c r="E165" s="1">
        <v>4</v>
      </c>
      <c r="F165" s="1">
        <v>90</v>
      </c>
      <c r="G165" s="1">
        <v>1</v>
      </c>
      <c r="H165" s="1">
        <v>807.11077027627505</v>
      </c>
      <c r="I165" t="s">
        <v>212</v>
      </c>
      <c r="J165" s="1">
        <v>843.07886552931996</v>
      </c>
      <c r="K165" t="s">
        <v>213</v>
      </c>
      <c r="L165" s="1">
        <v>37.264072579607998</v>
      </c>
      <c r="M165" s="1">
        <v>0</v>
      </c>
      <c r="N165" s="1">
        <v>6</v>
      </c>
      <c r="O165" s="1">
        <v>3</v>
      </c>
      <c r="P165" s="1">
        <v>48.717519777226002</v>
      </c>
      <c r="Q165" s="1">
        <v>1</v>
      </c>
      <c r="R165" s="1">
        <v>6</v>
      </c>
      <c r="S165" s="1">
        <v>4</v>
      </c>
      <c r="T165" t="s">
        <v>191</v>
      </c>
      <c r="U165" s="1">
        <v>2.5</v>
      </c>
      <c r="V165" s="1">
        <v>42.264072579607998</v>
      </c>
      <c r="W165" s="1">
        <v>253.58443547764799</v>
      </c>
      <c r="X165" s="1">
        <v>4.9543830673939997</v>
      </c>
      <c r="Y165" s="1">
        <v>0</v>
      </c>
      <c r="Z165" s="1">
        <v>53.717519777226002</v>
      </c>
      <c r="AA165" s="1">
        <v>322.30511866335598</v>
      </c>
      <c r="AB165" s="1">
        <v>22.793401203597998</v>
      </c>
      <c r="AC165" s="1">
        <v>0</v>
      </c>
      <c r="AD165" t="s">
        <v>36</v>
      </c>
    </row>
    <row r="166" spans="1:30" x14ac:dyDescent="0.2">
      <c r="B166" t="s">
        <v>211</v>
      </c>
      <c r="C166">
        <f t="shared" si="2"/>
        <v>2.5</v>
      </c>
      <c r="D166" t="s">
        <v>32</v>
      </c>
      <c r="E166" s="1">
        <v>4</v>
      </c>
      <c r="F166" s="1">
        <v>120</v>
      </c>
      <c r="H166" s="1">
        <v>807.11077027627505</v>
      </c>
      <c r="I166" t="s">
        <v>212</v>
      </c>
      <c r="J166" s="1">
        <v>843.07886552931996</v>
      </c>
      <c r="K166" t="s">
        <v>213</v>
      </c>
      <c r="L166" s="1">
        <v>37.264072579607998</v>
      </c>
      <c r="M166" s="1">
        <v>0</v>
      </c>
      <c r="N166" s="1">
        <v>6</v>
      </c>
      <c r="O166" s="1">
        <v>3</v>
      </c>
      <c r="P166" s="1">
        <v>48.717519777226002</v>
      </c>
      <c r="Q166" s="1">
        <v>1</v>
      </c>
      <c r="R166" s="1">
        <v>6</v>
      </c>
      <c r="S166" s="1">
        <v>4</v>
      </c>
      <c r="T166" t="s">
        <v>191</v>
      </c>
      <c r="U166" s="1">
        <v>2.5</v>
      </c>
      <c r="V166" s="1">
        <v>42.264072579607998</v>
      </c>
      <c r="W166" s="1">
        <v>253.58443547764799</v>
      </c>
      <c r="X166" s="1">
        <v>4.9543830673939997</v>
      </c>
      <c r="Y166" s="1">
        <v>0</v>
      </c>
      <c r="Z166" s="1">
        <v>53.717519777226002</v>
      </c>
      <c r="AA166" s="1">
        <v>322.30511866335598</v>
      </c>
      <c r="AB166" s="1">
        <v>22.793401203597998</v>
      </c>
      <c r="AC166" s="1">
        <v>0</v>
      </c>
      <c r="AD166" t="s">
        <v>54</v>
      </c>
    </row>
    <row r="167" spans="1:30" x14ac:dyDescent="0.2">
      <c r="A167" s="1">
        <v>22</v>
      </c>
      <c r="B167" t="s">
        <v>211</v>
      </c>
      <c r="C167">
        <f t="shared" si="2"/>
        <v>2.5</v>
      </c>
      <c r="D167" t="s">
        <v>32</v>
      </c>
      <c r="E167" s="1">
        <v>8</v>
      </c>
      <c r="F167" s="1">
        <v>60</v>
      </c>
      <c r="G167" s="1">
        <v>1</v>
      </c>
      <c r="H167" s="1">
        <v>799</v>
      </c>
      <c r="I167" t="s">
        <v>214</v>
      </c>
      <c r="L167" s="1">
        <v>30.663450331909999</v>
      </c>
      <c r="M167" s="1">
        <v>0</v>
      </c>
      <c r="N167" s="1">
        <v>6</v>
      </c>
      <c r="O167" s="1">
        <v>4.833333333333</v>
      </c>
      <c r="T167" t="s">
        <v>191</v>
      </c>
      <c r="U167" s="1">
        <v>2.5</v>
      </c>
      <c r="V167" s="1">
        <v>35.663450331909999</v>
      </c>
      <c r="W167" s="1">
        <v>213.98070199145999</v>
      </c>
      <c r="X167" s="1">
        <v>9.166666666667</v>
      </c>
      <c r="Y167" s="1">
        <v>0</v>
      </c>
      <c r="AD167" t="s">
        <v>36</v>
      </c>
    </row>
    <row r="168" spans="1:30" x14ac:dyDescent="0.2">
      <c r="B168" t="s">
        <v>211</v>
      </c>
      <c r="C168">
        <f t="shared" si="2"/>
        <v>2.5</v>
      </c>
      <c r="D168" t="s">
        <v>32</v>
      </c>
      <c r="E168" s="1">
        <v>8</v>
      </c>
      <c r="F168" s="1">
        <v>90</v>
      </c>
      <c r="H168" s="1">
        <v>799</v>
      </c>
      <c r="I168" t="s">
        <v>214</v>
      </c>
      <c r="J168" s="1">
        <v>843.07886552931996</v>
      </c>
      <c r="K168" t="s">
        <v>213</v>
      </c>
      <c r="L168" s="1">
        <v>30.663450331909999</v>
      </c>
      <c r="M168" s="1">
        <v>0</v>
      </c>
      <c r="N168" s="1">
        <v>6</v>
      </c>
      <c r="O168" s="1">
        <v>4.833333333333</v>
      </c>
      <c r="P168" s="1">
        <v>48.717519777226002</v>
      </c>
      <c r="Q168" s="1">
        <v>1</v>
      </c>
      <c r="R168" s="1">
        <v>6</v>
      </c>
      <c r="S168" s="1">
        <v>4</v>
      </c>
      <c r="T168" t="s">
        <v>191</v>
      </c>
      <c r="U168" s="1">
        <v>2.5</v>
      </c>
      <c r="V168" s="1">
        <v>35.663450331909999</v>
      </c>
      <c r="W168" s="1">
        <v>213.98070199145999</v>
      </c>
      <c r="X168" s="1">
        <v>9.166666666667</v>
      </c>
      <c r="Y168" s="1">
        <v>0</v>
      </c>
      <c r="Z168" s="1">
        <v>53.717519777226002</v>
      </c>
      <c r="AA168" s="1">
        <v>322.30511866335598</v>
      </c>
      <c r="AB168" s="1">
        <v>22.793401203597998</v>
      </c>
      <c r="AC168" s="1">
        <v>0</v>
      </c>
      <c r="AD168" t="s">
        <v>54</v>
      </c>
    </row>
    <row r="169" spans="1:30" x14ac:dyDescent="0.2">
      <c r="B169" t="s">
        <v>211</v>
      </c>
      <c r="C169">
        <f t="shared" si="2"/>
        <v>2.5</v>
      </c>
      <c r="D169" t="s">
        <v>32</v>
      </c>
      <c r="E169" s="1">
        <v>8</v>
      </c>
      <c r="F169" s="1">
        <v>120</v>
      </c>
      <c r="H169" s="1">
        <v>798.05551275463995</v>
      </c>
      <c r="I169" t="s">
        <v>215</v>
      </c>
      <c r="J169" s="1">
        <v>843.07886552931996</v>
      </c>
      <c r="K169" t="s">
        <v>216</v>
      </c>
      <c r="L169" s="1">
        <v>54.049427106869999</v>
      </c>
      <c r="M169" s="1">
        <v>0</v>
      </c>
      <c r="N169" s="1">
        <v>6</v>
      </c>
      <c r="O169" s="1">
        <v>4.833333333333</v>
      </c>
      <c r="P169" s="1">
        <v>48.717519777226002</v>
      </c>
      <c r="Q169" s="1">
        <v>2</v>
      </c>
      <c r="R169" s="1">
        <v>6</v>
      </c>
      <c r="S169" s="1">
        <v>4.166666666667</v>
      </c>
      <c r="T169" t="s">
        <v>191</v>
      </c>
      <c r="U169" s="1">
        <v>2.5</v>
      </c>
      <c r="V169" s="1">
        <v>59.049427106869999</v>
      </c>
      <c r="W169" s="1">
        <v>354.29656264122002</v>
      </c>
      <c r="X169" s="1">
        <v>12.735141968995</v>
      </c>
      <c r="Y169" s="1">
        <v>0</v>
      </c>
      <c r="Z169" s="1">
        <v>53.717519777226002</v>
      </c>
      <c r="AA169" s="1">
        <v>322.30511866335598</v>
      </c>
      <c r="AB169" s="1">
        <v>22.793401203597998</v>
      </c>
      <c r="AC169" s="1">
        <v>0</v>
      </c>
      <c r="AD169" t="s">
        <v>54</v>
      </c>
    </row>
    <row r="170" spans="1:30" x14ac:dyDescent="0.2">
      <c r="A170" s="1">
        <v>25</v>
      </c>
      <c r="B170" t="s">
        <v>217</v>
      </c>
      <c r="C170">
        <f t="shared" si="2"/>
        <v>2</v>
      </c>
      <c r="D170" t="s">
        <v>32</v>
      </c>
      <c r="E170" s="1">
        <v>4</v>
      </c>
      <c r="F170" s="1">
        <v>60</v>
      </c>
      <c r="G170" s="1">
        <v>1</v>
      </c>
      <c r="H170" s="1">
        <v>757</v>
      </c>
      <c r="I170" t="s">
        <v>218</v>
      </c>
      <c r="L170" s="1">
        <v>35.440090293338997</v>
      </c>
      <c r="M170" s="1">
        <v>0</v>
      </c>
      <c r="N170" s="1">
        <v>1</v>
      </c>
      <c r="O170" s="1">
        <v>1</v>
      </c>
      <c r="T170" t="s">
        <v>191</v>
      </c>
      <c r="U170" s="1">
        <v>2</v>
      </c>
      <c r="V170" s="1">
        <v>40.440090293338997</v>
      </c>
      <c r="W170" s="1">
        <v>40.440090293338997</v>
      </c>
      <c r="X170" s="1">
        <v>0</v>
      </c>
      <c r="Y170" s="1">
        <v>0</v>
      </c>
      <c r="AD170" t="s">
        <v>36</v>
      </c>
    </row>
    <row r="171" spans="1:30" x14ac:dyDescent="0.2">
      <c r="B171" t="s">
        <v>217</v>
      </c>
      <c r="C171">
        <f t="shared" si="2"/>
        <v>2</v>
      </c>
      <c r="D171" t="s">
        <v>32</v>
      </c>
      <c r="E171" s="1">
        <v>4</v>
      </c>
      <c r="F171" s="1">
        <v>90</v>
      </c>
      <c r="H171" s="1">
        <v>749</v>
      </c>
      <c r="I171" t="s">
        <v>219</v>
      </c>
      <c r="J171" s="1">
        <v>786</v>
      </c>
      <c r="K171" t="s">
        <v>220</v>
      </c>
      <c r="L171" s="1">
        <v>78.714674616617998</v>
      </c>
      <c r="M171" s="1">
        <v>0</v>
      </c>
      <c r="N171" s="1">
        <v>1</v>
      </c>
      <c r="O171" s="1">
        <v>1</v>
      </c>
      <c r="P171" s="1">
        <v>54.477029024772001</v>
      </c>
      <c r="Q171" s="1">
        <v>1</v>
      </c>
      <c r="R171" s="1">
        <v>6</v>
      </c>
      <c r="S171" s="1">
        <v>3.333333333333</v>
      </c>
      <c r="T171" t="s">
        <v>191</v>
      </c>
      <c r="U171" s="1">
        <v>2</v>
      </c>
      <c r="V171" s="1">
        <v>83.714674616617998</v>
      </c>
      <c r="W171" s="1">
        <v>83.714674616617998</v>
      </c>
      <c r="X171" s="1">
        <v>0</v>
      </c>
      <c r="Y171" s="1">
        <v>0</v>
      </c>
      <c r="Z171" s="1">
        <v>60.310362358105998</v>
      </c>
      <c r="AA171" s="1">
        <v>361.86217414863597</v>
      </c>
      <c r="AB171" s="1">
        <v>5.1859502300990004</v>
      </c>
      <c r="AC171" s="1">
        <v>0</v>
      </c>
      <c r="AD171" t="s">
        <v>54</v>
      </c>
    </row>
    <row r="172" spans="1:30" x14ac:dyDescent="0.2">
      <c r="B172" t="s">
        <v>217</v>
      </c>
      <c r="C172">
        <f t="shared" si="2"/>
        <v>2</v>
      </c>
      <c r="D172" t="s">
        <v>32</v>
      </c>
      <c r="E172" s="1">
        <v>4</v>
      </c>
      <c r="F172" s="1">
        <v>120</v>
      </c>
      <c r="H172" s="1">
        <v>749</v>
      </c>
      <c r="I172" t="s">
        <v>221</v>
      </c>
      <c r="J172" s="1">
        <v>786</v>
      </c>
      <c r="K172" t="s">
        <v>220</v>
      </c>
      <c r="L172" s="1">
        <v>41.231056256176998</v>
      </c>
      <c r="M172" s="1">
        <v>0</v>
      </c>
      <c r="N172" s="1">
        <v>1</v>
      </c>
      <c r="O172" s="1">
        <v>1</v>
      </c>
      <c r="P172" s="1">
        <v>54.477029024772001</v>
      </c>
      <c r="Q172" s="1">
        <v>1</v>
      </c>
      <c r="R172" s="1">
        <v>6</v>
      </c>
      <c r="S172" s="1">
        <v>3.333333333333</v>
      </c>
      <c r="T172" t="s">
        <v>191</v>
      </c>
      <c r="U172" s="1">
        <v>2</v>
      </c>
      <c r="V172" s="1">
        <v>46.231056256176998</v>
      </c>
      <c r="W172" s="1">
        <v>46.231056256176998</v>
      </c>
      <c r="X172" s="1">
        <v>0</v>
      </c>
      <c r="Y172" s="1">
        <v>0</v>
      </c>
      <c r="Z172" s="1">
        <v>60.310362358105998</v>
      </c>
      <c r="AA172" s="1">
        <v>361.86217414863597</v>
      </c>
      <c r="AB172" s="1">
        <v>5.1859502300990004</v>
      </c>
      <c r="AC172" s="1">
        <v>0</v>
      </c>
      <c r="AD172" t="s">
        <v>54</v>
      </c>
    </row>
    <row r="173" spans="1:30" x14ac:dyDescent="0.2">
      <c r="B173" t="s">
        <v>217</v>
      </c>
      <c r="C173">
        <f t="shared" si="2"/>
        <v>2</v>
      </c>
      <c r="D173" t="s">
        <v>32</v>
      </c>
      <c r="E173" s="1">
        <v>8</v>
      </c>
      <c r="F173" s="1">
        <v>60</v>
      </c>
      <c r="H173" s="1">
        <v>741</v>
      </c>
      <c r="I173" t="s">
        <v>222</v>
      </c>
      <c r="L173" s="1">
        <v>40.262410832477002</v>
      </c>
      <c r="M173" s="1">
        <v>0</v>
      </c>
      <c r="N173" s="1">
        <v>2</v>
      </c>
      <c r="O173" s="1">
        <v>1</v>
      </c>
      <c r="T173" t="s">
        <v>191</v>
      </c>
      <c r="U173" s="1">
        <v>2</v>
      </c>
      <c r="V173" s="1">
        <v>45.262410832477002</v>
      </c>
      <c r="W173" s="1">
        <v>90.524821664954004</v>
      </c>
      <c r="X173" s="1">
        <v>0</v>
      </c>
      <c r="Y173" s="1">
        <v>0</v>
      </c>
      <c r="AD173" t="s">
        <v>54</v>
      </c>
    </row>
    <row r="174" spans="1:30" x14ac:dyDescent="0.2">
      <c r="B174" t="s">
        <v>217</v>
      </c>
      <c r="C174">
        <f t="shared" si="2"/>
        <v>2</v>
      </c>
      <c r="D174" t="s">
        <v>32</v>
      </c>
      <c r="E174" s="1">
        <v>8</v>
      </c>
      <c r="F174" s="1">
        <v>90</v>
      </c>
      <c r="H174" s="1">
        <v>741</v>
      </c>
      <c r="I174" t="s">
        <v>223</v>
      </c>
      <c r="J174" s="1">
        <v>786</v>
      </c>
      <c r="K174" t="s">
        <v>220</v>
      </c>
      <c r="L174" s="1">
        <v>59.958171445881</v>
      </c>
      <c r="M174" s="1">
        <v>0</v>
      </c>
      <c r="N174" s="1">
        <v>2</v>
      </c>
      <c r="O174" s="1">
        <v>3</v>
      </c>
      <c r="P174" s="1">
        <v>54.477029024772001</v>
      </c>
      <c r="Q174" s="1">
        <v>1</v>
      </c>
      <c r="R174" s="1">
        <v>6</v>
      </c>
      <c r="S174" s="1">
        <v>3.333333333333</v>
      </c>
      <c r="T174" t="s">
        <v>191</v>
      </c>
      <c r="U174" s="1">
        <v>2</v>
      </c>
      <c r="V174" s="1">
        <v>64.958171445881007</v>
      </c>
      <c r="W174" s="1">
        <v>129.91634289176201</v>
      </c>
      <c r="X174" s="1">
        <v>0</v>
      </c>
      <c r="Y174" s="1">
        <v>0</v>
      </c>
      <c r="Z174" s="1">
        <v>60.310362358105998</v>
      </c>
      <c r="AA174" s="1">
        <v>361.86217414863597</v>
      </c>
      <c r="AB174" s="1">
        <v>5.1859502300990004</v>
      </c>
      <c r="AC174" s="1">
        <v>0</v>
      </c>
      <c r="AD174" t="s">
        <v>54</v>
      </c>
    </row>
    <row r="175" spans="1:30" x14ac:dyDescent="0.2">
      <c r="B175" t="s">
        <v>217</v>
      </c>
      <c r="C175">
        <f t="shared" si="2"/>
        <v>2</v>
      </c>
      <c r="D175" t="s">
        <v>32</v>
      </c>
      <c r="E175" s="1">
        <v>8</v>
      </c>
      <c r="F175" s="1">
        <v>120</v>
      </c>
      <c r="H175" s="1">
        <v>741</v>
      </c>
      <c r="I175" t="s">
        <v>223</v>
      </c>
      <c r="J175" s="1">
        <v>786</v>
      </c>
      <c r="K175" t="s">
        <v>220</v>
      </c>
      <c r="L175" s="1">
        <v>59.958171445881</v>
      </c>
      <c r="M175" s="1">
        <v>0</v>
      </c>
      <c r="N175" s="1">
        <v>2</v>
      </c>
      <c r="O175" s="1">
        <v>3</v>
      </c>
      <c r="P175" s="1">
        <v>54.477029024772001</v>
      </c>
      <c r="Q175" s="1">
        <v>1</v>
      </c>
      <c r="R175" s="1">
        <v>6</v>
      </c>
      <c r="S175" s="1">
        <v>3.333333333333</v>
      </c>
      <c r="T175" t="s">
        <v>191</v>
      </c>
      <c r="U175" s="1">
        <v>2</v>
      </c>
      <c r="V175" s="1">
        <v>64.958171445881007</v>
      </c>
      <c r="W175" s="1">
        <v>129.91634289176201</v>
      </c>
      <c r="X175" s="1">
        <v>0</v>
      </c>
      <c r="Y175" s="1">
        <v>0</v>
      </c>
      <c r="Z175" s="1">
        <v>60.310362358105998</v>
      </c>
      <c r="AA175" s="1">
        <v>361.86217414863597</v>
      </c>
      <c r="AB175" s="1">
        <v>5.1859502300990004</v>
      </c>
      <c r="AC175" s="1">
        <v>0</v>
      </c>
      <c r="AD175" t="s">
        <v>54</v>
      </c>
    </row>
    <row r="176" spans="1:30" x14ac:dyDescent="0.2">
      <c r="A176" s="1">
        <v>31</v>
      </c>
      <c r="B176" t="s">
        <v>224</v>
      </c>
      <c r="C176">
        <f t="shared" si="2"/>
        <v>3</v>
      </c>
      <c r="D176" t="s">
        <v>32</v>
      </c>
      <c r="E176" s="1">
        <v>4</v>
      </c>
      <c r="F176" s="1">
        <v>60</v>
      </c>
      <c r="G176" s="1">
        <v>1</v>
      </c>
      <c r="H176" s="1">
        <v>984.59126028197397</v>
      </c>
      <c r="I176" t="s">
        <v>225</v>
      </c>
      <c r="J176" s="1">
        <v>1018.76305461424</v>
      </c>
      <c r="K176" t="s">
        <v>226</v>
      </c>
      <c r="L176" s="1">
        <v>33.837194997917003</v>
      </c>
      <c r="M176" s="1">
        <v>0</v>
      </c>
      <c r="N176" s="1">
        <v>9</v>
      </c>
      <c r="O176" s="1">
        <v>3</v>
      </c>
      <c r="P176" s="1">
        <v>40.295371957360999</v>
      </c>
      <c r="Q176" s="1">
        <v>1</v>
      </c>
      <c r="R176" s="1">
        <v>5</v>
      </c>
      <c r="S176" s="1">
        <v>2.4</v>
      </c>
      <c r="T176" t="s">
        <v>191</v>
      </c>
      <c r="U176" s="1">
        <v>3</v>
      </c>
      <c r="V176" s="1">
        <v>38.837194997917003</v>
      </c>
      <c r="W176" s="1">
        <v>349.534754981253</v>
      </c>
      <c r="X176" s="1">
        <v>6.0160228488019998</v>
      </c>
      <c r="Y176" s="1">
        <v>0</v>
      </c>
      <c r="Z176" s="1">
        <v>46.295371957360999</v>
      </c>
      <c r="AA176" s="1">
        <v>231.47685978680499</v>
      </c>
      <c r="AB176" s="1">
        <v>10.634154970762999</v>
      </c>
      <c r="AC176" s="1">
        <v>0</v>
      </c>
      <c r="AD176" t="s">
        <v>36</v>
      </c>
    </row>
    <row r="177" spans="1:30" x14ac:dyDescent="0.2">
      <c r="A177" s="1">
        <v>31</v>
      </c>
      <c r="B177" t="s">
        <v>224</v>
      </c>
      <c r="C177">
        <f t="shared" si="2"/>
        <v>3</v>
      </c>
      <c r="D177" t="s">
        <v>32</v>
      </c>
      <c r="E177" s="1">
        <v>4</v>
      </c>
      <c r="F177" s="1">
        <v>90</v>
      </c>
      <c r="G177" s="1">
        <v>1</v>
      </c>
      <c r="H177" s="1">
        <v>984.59126028197397</v>
      </c>
      <c r="I177" t="s">
        <v>225</v>
      </c>
      <c r="J177" s="1">
        <v>1018.76305461424</v>
      </c>
      <c r="K177" t="s">
        <v>226</v>
      </c>
      <c r="L177" s="1">
        <v>33.837194997917003</v>
      </c>
      <c r="M177" s="1">
        <v>0</v>
      </c>
      <c r="N177" s="1">
        <v>9</v>
      </c>
      <c r="O177" s="1">
        <v>3</v>
      </c>
      <c r="P177" s="1">
        <v>40.295371957360999</v>
      </c>
      <c r="Q177" s="1">
        <v>1</v>
      </c>
      <c r="R177" s="1">
        <v>5</v>
      </c>
      <c r="S177" s="1">
        <v>2.4</v>
      </c>
      <c r="T177" t="s">
        <v>191</v>
      </c>
      <c r="U177" s="1">
        <v>3</v>
      </c>
      <c r="V177" s="1">
        <v>38.837194997917003</v>
      </c>
      <c r="W177" s="1">
        <v>349.534754981253</v>
      </c>
      <c r="X177" s="1">
        <v>6.0160228488019998</v>
      </c>
      <c r="Y177" s="1">
        <v>0</v>
      </c>
      <c r="Z177" s="1">
        <v>46.295371957360999</v>
      </c>
      <c r="AA177" s="1">
        <v>231.47685978680499</v>
      </c>
      <c r="AB177" s="1">
        <v>10.634154970762999</v>
      </c>
      <c r="AC177" s="1">
        <v>0</v>
      </c>
      <c r="AD177" t="s">
        <v>36</v>
      </c>
    </row>
    <row r="178" spans="1:30" x14ac:dyDescent="0.2">
      <c r="B178" t="s">
        <v>224</v>
      </c>
      <c r="C178">
        <f t="shared" si="2"/>
        <v>3</v>
      </c>
      <c r="D178" t="s">
        <v>32</v>
      </c>
      <c r="E178" s="1">
        <v>4</v>
      </c>
      <c r="F178" s="1">
        <v>120</v>
      </c>
      <c r="H178" s="1">
        <v>971.09975124224195</v>
      </c>
      <c r="I178" t="s">
        <v>227</v>
      </c>
      <c r="J178" s="1">
        <v>971.09975124224195</v>
      </c>
      <c r="K178" t="s">
        <v>227</v>
      </c>
      <c r="L178" s="1">
        <v>54.358466173864997</v>
      </c>
      <c r="M178" s="1">
        <v>2</v>
      </c>
      <c r="N178" s="1">
        <v>7</v>
      </c>
      <c r="O178" s="1">
        <v>3.5714285714290002</v>
      </c>
      <c r="P178" s="1">
        <v>54.358466173864997</v>
      </c>
      <c r="Q178" s="1">
        <v>2</v>
      </c>
      <c r="R178" s="1">
        <v>7</v>
      </c>
      <c r="S178" s="1">
        <v>3.5714285714290002</v>
      </c>
      <c r="T178" t="s">
        <v>191</v>
      </c>
      <c r="U178" s="1">
        <v>3</v>
      </c>
      <c r="V178" s="1">
        <v>60.787037602436001</v>
      </c>
      <c r="W178" s="1">
        <v>425.50926321705202</v>
      </c>
      <c r="X178" s="1">
        <v>9.2506107138529998</v>
      </c>
      <c r="Y178" s="1">
        <v>0.21291663138700001</v>
      </c>
      <c r="Z178" s="1">
        <v>60.787037602436001</v>
      </c>
      <c r="AA178" s="1">
        <v>425.50926321705202</v>
      </c>
      <c r="AB178" s="1">
        <v>9.2506107138529998</v>
      </c>
      <c r="AC178" s="1">
        <v>0.21291663138700001</v>
      </c>
      <c r="AD178" t="s">
        <v>54</v>
      </c>
    </row>
    <row r="179" spans="1:30" x14ac:dyDescent="0.2">
      <c r="B179" t="s">
        <v>224</v>
      </c>
      <c r="C179">
        <f t="shared" si="2"/>
        <v>3</v>
      </c>
      <c r="D179" t="s">
        <v>32</v>
      </c>
      <c r="E179" s="1">
        <v>8</v>
      </c>
      <c r="F179" s="1">
        <v>60</v>
      </c>
      <c r="H179" s="1">
        <v>942</v>
      </c>
      <c r="I179" t="s">
        <v>228</v>
      </c>
      <c r="J179" s="1">
        <v>998</v>
      </c>
      <c r="K179" t="s">
        <v>229</v>
      </c>
      <c r="L179" s="1">
        <v>34.837287915292997</v>
      </c>
      <c r="M179" s="1">
        <v>0</v>
      </c>
      <c r="N179" s="1">
        <v>2</v>
      </c>
      <c r="O179" s="1">
        <v>3</v>
      </c>
      <c r="P179" s="1">
        <v>32.361803725579001</v>
      </c>
      <c r="Q179" s="1">
        <v>1</v>
      </c>
      <c r="R179" s="1">
        <v>5</v>
      </c>
      <c r="S179" s="1">
        <v>5.2</v>
      </c>
      <c r="T179" t="s">
        <v>191</v>
      </c>
      <c r="U179" s="1">
        <v>3</v>
      </c>
      <c r="V179" s="1">
        <v>39.837287915292997</v>
      </c>
      <c r="W179" s="1">
        <v>79.674575830585994</v>
      </c>
      <c r="X179" s="1">
        <v>0</v>
      </c>
      <c r="Y179" s="1">
        <v>0</v>
      </c>
      <c r="Z179" s="1">
        <v>37.361803725579001</v>
      </c>
      <c r="AA179" s="1">
        <v>186.809018627895</v>
      </c>
      <c r="AB179" s="1">
        <v>0</v>
      </c>
      <c r="AC179" s="1">
        <v>0</v>
      </c>
      <c r="AD179" t="s">
        <v>54</v>
      </c>
    </row>
    <row r="180" spans="1:30" x14ac:dyDescent="0.2">
      <c r="B180" t="s">
        <v>224</v>
      </c>
      <c r="C180">
        <f t="shared" si="2"/>
        <v>3</v>
      </c>
      <c r="D180" t="s">
        <v>32</v>
      </c>
      <c r="E180" s="1">
        <v>8</v>
      </c>
      <c r="F180" s="1">
        <v>90</v>
      </c>
      <c r="H180" s="1">
        <v>942</v>
      </c>
      <c r="I180" t="s">
        <v>228</v>
      </c>
      <c r="J180" s="1">
        <v>1012.59126028197</v>
      </c>
      <c r="K180" t="s">
        <v>230</v>
      </c>
      <c r="L180" s="1">
        <v>34.837287915292997</v>
      </c>
      <c r="M180" s="1">
        <v>0</v>
      </c>
      <c r="N180" s="1">
        <v>2</v>
      </c>
      <c r="O180" s="1">
        <v>3</v>
      </c>
      <c r="P180" s="1">
        <v>60.189619438095001</v>
      </c>
      <c r="Q180" s="1">
        <v>2</v>
      </c>
      <c r="R180" s="1">
        <v>5</v>
      </c>
      <c r="S180" s="1">
        <v>3.8</v>
      </c>
      <c r="T180" t="s">
        <v>191</v>
      </c>
      <c r="U180" s="1">
        <v>3</v>
      </c>
      <c r="V180" s="1">
        <v>39.837287915292997</v>
      </c>
      <c r="W180" s="1">
        <v>79.674575830585994</v>
      </c>
      <c r="X180" s="1">
        <v>0</v>
      </c>
      <c r="Y180" s="1">
        <v>0</v>
      </c>
      <c r="Z180" s="1">
        <v>67.189619438094994</v>
      </c>
      <c r="AA180" s="1">
        <v>335.94809719047498</v>
      </c>
      <c r="AB180" s="1">
        <v>7.31596566197</v>
      </c>
      <c r="AC180" s="1">
        <v>0.80292847882999996</v>
      </c>
      <c r="AD180" t="s">
        <v>54</v>
      </c>
    </row>
    <row r="181" spans="1:30" x14ac:dyDescent="0.2">
      <c r="B181" t="s">
        <v>224</v>
      </c>
      <c r="C181">
        <f t="shared" si="2"/>
        <v>3</v>
      </c>
      <c r="D181" t="s">
        <v>32</v>
      </c>
      <c r="E181" s="1">
        <v>8</v>
      </c>
      <c r="F181" s="1">
        <v>120</v>
      </c>
      <c r="H181" s="1">
        <v>942</v>
      </c>
      <c r="I181" t="s">
        <v>228</v>
      </c>
      <c r="J181" s="1">
        <v>971.09975124224195</v>
      </c>
      <c r="K181" t="s">
        <v>231</v>
      </c>
      <c r="L181" s="1">
        <v>34.837287915292997</v>
      </c>
      <c r="M181" s="1">
        <v>0</v>
      </c>
      <c r="N181" s="1">
        <v>2</v>
      </c>
      <c r="O181" s="1">
        <v>3</v>
      </c>
      <c r="P181" s="1">
        <v>65.337009469717003</v>
      </c>
      <c r="Q181" s="1">
        <v>3</v>
      </c>
      <c r="R181" s="1">
        <v>6</v>
      </c>
      <c r="S181" s="1">
        <v>4.166666666667</v>
      </c>
      <c r="T181" t="s">
        <v>191</v>
      </c>
      <c r="U181" s="1">
        <v>3</v>
      </c>
      <c r="V181" s="1">
        <v>39.837287915292997</v>
      </c>
      <c r="W181" s="1">
        <v>79.674575830585994</v>
      </c>
      <c r="X181" s="1">
        <v>0</v>
      </c>
      <c r="Y181" s="1">
        <v>0</v>
      </c>
      <c r="Z181" s="1">
        <v>72.837009469717003</v>
      </c>
      <c r="AA181" s="1">
        <v>437.02205681830202</v>
      </c>
      <c r="AB181" s="1">
        <v>9.2506107138529998</v>
      </c>
      <c r="AC181" s="1">
        <v>3.7143381426370001</v>
      </c>
      <c r="AD181" t="s">
        <v>54</v>
      </c>
    </row>
    <row r="182" spans="1:30" x14ac:dyDescent="0.2">
      <c r="A182" s="1">
        <v>91</v>
      </c>
      <c r="B182" t="s">
        <v>232</v>
      </c>
      <c r="C182">
        <f t="shared" si="2"/>
        <v>0.5</v>
      </c>
      <c r="D182" t="s">
        <v>79</v>
      </c>
      <c r="E182" s="1">
        <v>4</v>
      </c>
      <c r="F182" s="1">
        <v>60</v>
      </c>
      <c r="G182" s="1">
        <v>3</v>
      </c>
      <c r="H182" s="1">
        <v>579</v>
      </c>
      <c r="I182" t="s">
        <v>233</v>
      </c>
      <c r="L182" s="1">
        <v>40.262410832477002</v>
      </c>
      <c r="M182" s="1">
        <v>0</v>
      </c>
      <c r="N182" s="1">
        <v>2</v>
      </c>
      <c r="O182" s="1">
        <v>1</v>
      </c>
      <c r="T182" t="s">
        <v>191</v>
      </c>
      <c r="U182" s="1">
        <v>0.5</v>
      </c>
      <c r="V182" s="1">
        <v>45.262410832477002</v>
      </c>
      <c r="W182" s="1">
        <v>90.524821664954004</v>
      </c>
      <c r="X182" s="1">
        <v>0</v>
      </c>
      <c r="Y182" s="1">
        <v>0</v>
      </c>
      <c r="AD182" t="s">
        <v>36</v>
      </c>
    </row>
    <row r="183" spans="1:30" x14ac:dyDescent="0.2">
      <c r="A183" s="1">
        <v>92</v>
      </c>
      <c r="B183" t="s">
        <v>232</v>
      </c>
      <c r="C183">
        <f t="shared" si="2"/>
        <v>0.5</v>
      </c>
      <c r="D183" t="s">
        <v>79</v>
      </c>
      <c r="E183" s="1">
        <v>4</v>
      </c>
      <c r="F183" s="1">
        <v>90</v>
      </c>
      <c r="G183" s="1">
        <v>1</v>
      </c>
      <c r="H183" s="1">
        <v>555.77084329229297</v>
      </c>
      <c r="I183" t="s">
        <v>234</v>
      </c>
      <c r="L183" s="1">
        <v>50.522541181384</v>
      </c>
      <c r="M183" s="1">
        <v>0</v>
      </c>
      <c r="N183" s="1">
        <v>13</v>
      </c>
      <c r="O183" s="1">
        <v>3.615384615385</v>
      </c>
      <c r="T183" t="s">
        <v>191</v>
      </c>
      <c r="U183" s="1">
        <v>0.5</v>
      </c>
      <c r="V183" s="1">
        <v>55.522541181384</v>
      </c>
      <c r="W183" s="1">
        <v>721.79303535799204</v>
      </c>
      <c r="X183" s="1">
        <v>5.4168942727039999</v>
      </c>
      <c r="Y183" s="1">
        <v>0</v>
      </c>
      <c r="AD183" t="s">
        <v>36</v>
      </c>
    </row>
    <row r="184" spans="1:30" x14ac:dyDescent="0.2">
      <c r="A184" s="1">
        <v>39</v>
      </c>
      <c r="B184" t="s">
        <v>232</v>
      </c>
      <c r="C184">
        <f t="shared" si="2"/>
        <v>0.5</v>
      </c>
      <c r="D184" t="s">
        <v>79</v>
      </c>
      <c r="E184" s="1">
        <v>4</v>
      </c>
      <c r="F184" s="1">
        <v>120</v>
      </c>
      <c r="G184" s="1">
        <v>1</v>
      </c>
      <c r="H184" s="1">
        <v>555.77084329229297</v>
      </c>
      <c r="I184" t="s">
        <v>234</v>
      </c>
      <c r="J184" s="1">
        <v>607</v>
      </c>
      <c r="K184" t="s">
        <v>235</v>
      </c>
      <c r="L184" s="1">
        <v>50.522541181384</v>
      </c>
      <c r="M184" s="1">
        <v>0</v>
      </c>
      <c r="N184" s="1">
        <v>13</v>
      </c>
      <c r="O184" s="1">
        <v>3.615384615385</v>
      </c>
      <c r="P184" s="1">
        <v>61.231921841609001</v>
      </c>
      <c r="Q184" s="1">
        <v>1</v>
      </c>
      <c r="R184" s="1">
        <v>4</v>
      </c>
      <c r="S184" s="1">
        <v>3.25</v>
      </c>
      <c r="T184" t="s">
        <v>191</v>
      </c>
      <c r="U184" s="1">
        <v>0.5</v>
      </c>
      <c r="V184" s="1">
        <v>55.522541181384</v>
      </c>
      <c r="W184" s="1">
        <v>721.79303535799204</v>
      </c>
      <c r="X184" s="1">
        <v>5.4168942727039999</v>
      </c>
      <c r="Y184" s="1">
        <v>0</v>
      </c>
      <c r="Z184" s="1">
        <v>67.481921841608994</v>
      </c>
      <c r="AA184" s="1">
        <v>269.92768736643598</v>
      </c>
      <c r="AB184" s="1">
        <v>0</v>
      </c>
      <c r="AC184" s="1">
        <v>0.87458921772200005</v>
      </c>
      <c r="AD184" t="s">
        <v>36</v>
      </c>
    </row>
    <row r="185" spans="1:30" x14ac:dyDescent="0.2">
      <c r="A185" s="1">
        <v>94</v>
      </c>
      <c r="B185" t="s">
        <v>232</v>
      </c>
      <c r="C185">
        <f t="shared" si="2"/>
        <v>0.5</v>
      </c>
      <c r="D185" t="s">
        <v>79</v>
      </c>
      <c r="E185" s="1">
        <v>8</v>
      </c>
      <c r="F185" s="1">
        <v>60</v>
      </c>
      <c r="G185" s="1">
        <v>5</v>
      </c>
      <c r="H185" s="1">
        <v>521.661903789691</v>
      </c>
      <c r="I185" t="s">
        <v>236</v>
      </c>
      <c r="J185" s="1">
        <v>832.82455196337605</v>
      </c>
      <c r="K185" t="s">
        <v>237</v>
      </c>
      <c r="L185" s="1">
        <v>38.193968856365998</v>
      </c>
      <c r="M185" s="1">
        <v>0</v>
      </c>
      <c r="N185" s="1">
        <v>8</v>
      </c>
      <c r="O185" s="1">
        <v>5.75</v>
      </c>
      <c r="P185" s="1">
        <v>37.736631977922997</v>
      </c>
      <c r="Q185" s="1">
        <v>1</v>
      </c>
      <c r="R185" s="1">
        <v>8</v>
      </c>
      <c r="S185" s="1">
        <v>6</v>
      </c>
      <c r="T185" t="s">
        <v>191</v>
      </c>
      <c r="U185" s="1">
        <v>0.5</v>
      </c>
      <c r="V185" s="1">
        <v>43.193968856365998</v>
      </c>
      <c r="W185" s="1">
        <v>345.55175085092799</v>
      </c>
      <c r="X185" s="1">
        <v>2.7077379737110001</v>
      </c>
      <c r="Y185" s="1">
        <v>0</v>
      </c>
      <c r="Z185" s="1">
        <v>43.361631977922997</v>
      </c>
      <c r="AA185" s="1">
        <v>346.89305582338397</v>
      </c>
      <c r="AB185" s="1">
        <v>39.106366434865997</v>
      </c>
      <c r="AC185" s="1">
        <v>0</v>
      </c>
      <c r="AD185" t="s">
        <v>36</v>
      </c>
    </row>
    <row r="186" spans="1:30" x14ac:dyDescent="0.2">
      <c r="A186" s="1">
        <v>95</v>
      </c>
      <c r="B186" t="s">
        <v>232</v>
      </c>
      <c r="C186">
        <f t="shared" si="2"/>
        <v>0.5</v>
      </c>
      <c r="D186" t="s">
        <v>79</v>
      </c>
      <c r="E186" s="1">
        <v>8</v>
      </c>
      <c r="F186" s="1">
        <v>90</v>
      </c>
      <c r="G186" s="1">
        <v>2</v>
      </c>
      <c r="H186" s="1">
        <v>508.63701549520903</v>
      </c>
      <c r="I186" t="s">
        <v>238</v>
      </c>
      <c r="J186" s="1">
        <v>614.51903107649605</v>
      </c>
      <c r="K186" t="s">
        <v>239</v>
      </c>
      <c r="L186" s="1">
        <v>43.56601644949</v>
      </c>
      <c r="M186" s="1">
        <v>0</v>
      </c>
      <c r="N186" s="1">
        <v>9</v>
      </c>
      <c r="O186" s="1">
        <v>5.2222222222220003</v>
      </c>
      <c r="P186" s="1">
        <v>52.062818281125999</v>
      </c>
      <c r="Q186" s="1">
        <v>1</v>
      </c>
      <c r="R186" s="1">
        <v>7</v>
      </c>
      <c r="S186" s="1">
        <v>6.5714285714290002</v>
      </c>
      <c r="T186" t="s">
        <v>191</v>
      </c>
      <c r="U186" s="1">
        <v>0.5</v>
      </c>
      <c r="V186" s="1">
        <v>48.56601644949</v>
      </c>
      <c r="W186" s="1">
        <v>437.09414804541001</v>
      </c>
      <c r="X186" s="1">
        <v>2.9036725973080002</v>
      </c>
      <c r="Y186" s="1">
        <v>0</v>
      </c>
      <c r="Z186" s="1">
        <v>57.777103995411998</v>
      </c>
      <c r="AA186" s="1">
        <v>404.43972796788398</v>
      </c>
      <c r="AB186" s="1">
        <v>14.699392105792001</v>
      </c>
      <c r="AC186" s="1">
        <v>0</v>
      </c>
      <c r="AD186" t="s">
        <v>36</v>
      </c>
    </row>
    <row r="187" spans="1:30" x14ac:dyDescent="0.2">
      <c r="A187" s="1">
        <v>96</v>
      </c>
      <c r="B187" t="s">
        <v>232</v>
      </c>
      <c r="C187">
        <f t="shared" si="2"/>
        <v>0.5</v>
      </c>
      <c r="D187" t="s">
        <v>79</v>
      </c>
      <c r="E187" s="1">
        <v>8</v>
      </c>
      <c r="F187" s="1">
        <v>120</v>
      </c>
      <c r="G187" s="1">
        <v>2</v>
      </c>
      <c r="H187" s="1">
        <v>500</v>
      </c>
      <c r="I187" t="s">
        <v>240</v>
      </c>
      <c r="J187" s="1">
        <v>553.32862191427898</v>
      </c>
      <c r="K187" t="s">
        <v>241</v>
      </c>
      <c r="L187" s="1">
        <v>52.660562564907998</v>
      </c>
      <c r="M187" s="1">
        <v>0</v>
      </c>
      <c r="N187" s="1">
        <v>8</v>
      </c>
      <c r="O187" s="1">
        <v>5.75</v>
      </c>
      <c r="P187" s="1">
        <v>59.845019929297003</v>
      </c>
      <c r="Q187" s="1">
        <v>1</v>
      </c>
      <c r="R187" s="1">
        <v>7</v>
      </c>
      <c r="S187" s="1">
        <v>6.5714285714290002</v>
      </c>
      <c r="T187" t="s">
        <v>191</v>
      </c>
      <c r="U187" s="1">
        <v>0.5</v>
      </c>
      <c r="V187" s="1">
        <v>57.660562564907998</v>
      </c>
      <c r="W187" s="1">
        <v>461.28450051926399</v>
      </c>
      <c r="X187" s="1">
        <v>1.625</v>
      </c>
      <c r="Y187" s="1">
        <v>0</v>
      </c>
      <c r="Z187" s="1">
        <v>65.559305643581993</v>
      </c>
      <c r="AA187" s="1">
        <v>458.91513950507402</v>
      </c>
      <c r="AB187" s="1">
        <v>2.7540933964050001</v>
      </c>
      <c r="AC187" s="1">
        <v>0</v>
      </c>
      <c r="AD187" t="s">
        <v>36</v>
      </c>
    </row>
    <row r="188" spans="1:30" x14ac:dyDescent="0.2">
      <c r="A188" s="1">
        <v>97</v>
      </c>
      <c r="B188" t="s">
        <v>242</v>
      </c>
      <c r="C188">
        <f t="shared" si="2"/>
        <v>1.5</v>
      </c>
      <c r="D188" t="s">
        <v>79</v>
      </c>
      <c r="E188" s="1">
        <v>4</v>
      </c>
      <c r="F188" s="1">
        <v>60</v>
      </c>
      <c r="G188" s="1">
        <v>3</v>
      </c>
      <c r="H188" s="1">
        <v>745.76305461423999</v>
      </c>
      <c r="I188" t="s">
        <v>243</v>
      </c>
      <c r="J188" s="1">
        <v>745.76305461423999</v>
      </c>
      <c r="K188" t="s">
        <v>243</v>
      </c>
      <c r="L188" s="1">
        <v>37.377605345479999</v>
      </c>
      <c r="M188" s="1">
        <v>1</v>
      </c>
      <c r="N188" s="1">
        <v>13</v>
      </c>
      <c r="O188" s="1">
        <v>3.3076923076920002</v>
      </c>
      <c r="P188" s="1">
        <v>37.377605345479999</v>
      </c>
      <c r="Q188" s="1">
        <v>1</v>
      </c>
      <c r="R188" s="1">
        <v>13</v>
      </c>
      <c r="S188" s="1">
        <v>3.3076923076920002</v>
      </c>
      <c r="T188" t="s">
        <v>191</v>
      </c>
      <c r="U188" s="1">
        <v>1.5</v>
      </c>
      <c r="V188" s="1">
        <v>42.762220730095002</v>
      </c>
      <c r="W188" s="1">
        <v>555.90886949123501</v>
      </c>
      <c r="X188" s="1">
        <v>2.2782714689039998</v>
      </c>
      <c r="Y188" s="1">
        <v>0.44838566239299998</v>
      </c>
      <c r="Z188" s="1">
        <v>42.762220730095002</v>
      </c>
      <c r="AA188" s="1">
        <v>555.90886949123501</v>
      </c>
      <c r="AB188" s="1">
        <v>2.2782714689039998</v>
      </c>
      <c r="AC188" s="1">
        <v>0.44838566239299998</v>
      </c>
      <c r="AD188" t="s">
        <v>36</v>
      </c>
    </row>
    <row r="189" spans="1:30" x14ac:dyDescent="0.2">
      <c r="A189" s="1">
        <v>98</v>
      </c>
      <c r="B189" t="s">
        <v>242</v>
      </c>
      <c r="C189">
        <f t="shared" si="2"/>
        <v>1.5</v>
      </c>
      <c r="D189" t="s">
        <v>79</v>
      </c>
      <c r="E189" s="1">
        <v>4</v>
      </c>
      <c r="F189" s="1">
        <v>90</v>
      </c>
      <c r="G189" s="1">
        <v>3</v>
      </c>
      <c r="H189" s="1">
        <v>716.06888370749698</v>
      </c>
      <c r="I189" t="s">
        <v>244</v>
      </c>
      <c r="J189" s="1">
        <v>716.06888370749698</v>
      </c>
      <c r="K189" t="s">
        <v>244</v>
      </c>
      <c r="L189" s="1">
        <v>49.147921618257001</v>
      </c>
      <c r="M189" s="1">
        <v>1</v>
      </c>
      <c r="N189" s="1">
        <v>14</v>
      </c>
      <c r="O189" s="1">
        <v>3.285714285714</v>
      </c>
      <c r="P189" s="1">
        <v>49.147921618257001</v>
      </c>
      <c r="Q189" s="1">
        <v>1</v>
      </c>
      <c r="R189" s="1">
        <v>14</v>
      </c>
      <c r="S189" s="1">
        <v>3.285714285714</v>
      </c>
      <c r="T189" t="s">
        <v>191</v>
      </c>
      <c r="U189" s="1">
        <v>1.5</v>
      </c>
      <c r="V189" s="1">
        <v>54.147921618257001</v>
      </c>
      <c r="W189" s="1">
        <v>758.07090265559805</v>
      </c>
      <c r="X189" s="1">
        <v>7.7438890998760002</v>
      </c>
      <c r="Y189" s="1">
        <v>0</v>
      </c>
      <c r="Z189" s="1">
        <v>54.147921618257001</v>
      </c>
      <c r="AA189" s="1">
        <v>758.07090265559805</v>
      </c>
      <c r="AB189" s="1">
        <v>7.7438890998760002</v>
      </c>
      <c r="AC189" s="1">
        <v>0</v>
      </c>
      <c r="AD189" t="s">
        <v>36</v>
      </c>
    </row>
    <row r="190" spans="1:30" x14ac:dyDescent="0.2">
      <c r="A190" s="1">
        <v>99</v>
      </c>
      <c r="B190" t="s">
        <v>242</v>
      </c>
      <c r="C190">
        <f t="shared" si="2"/>
        <v>1.5</v>
      </c>
      <c r="D190" t="s">
        <v>79</v>
      </c>
      <c r="E190" s="1">
        <v>4</v>
      </c>
      <c r="F190" s="1">
        <v>120</v>
      </c>
      <c r="G190" s="1">
        <v>5</v>
      </c>
      <c r="H190" s="1">
        <v>713.84052202755095</v>
      </c>
      <c r="I190" t="s">
        <v>245</v>
      </c>
      <c r="J190" s="1">
        <v>713.84052202755095</v>
      </c>
      <c r="K190" t="s">
        <v>245</v>
      </c>
      <c r="L190" s="1">
        <v>48.898236540852999</v>
      </c>
      <c r="M190" s="1">
        <v>1</v>
      </c>
      <c r="N190" s="1">
        <v>11</v>
      </c>
      <c r="O190" s="1">
        <v>3.7272727272730002</v>
      </c>
      <c r="P190" s="1">
        <v>48.898236540852999</v>
      </c>
      <c r="Q190" s="1">
        <v>1</v>
      </c>
      <c r="R190" s="1">
        <v>11</v>
      </c>
      <c r="S190" s="1">
        <v>3.7272727272730002</v>
      </c>
      <c r="T190" t="s">
        <v>191</v>
      </c>
      <c r="U190" s="1">
        <v>1.5</v>
      </c>
      <c r="V190" s="1">
        <v>53.898236540852999</v>
      </c>
      <c r="W190" s="1">
        <v>592.88060194938305</v>
      </c>
      <c r="X190" s="1">
        <v>1.803683820686</v>
      </c>
      <c r="Y190" s="1">
        <v>0</v>
      </c>
      <c r="Z190" s="1">
        <v>53.898236540852999</v>
      </c>
      <c r="AA190" s="1">
        <v>592.88060194938305</v>
      </c>
      <c r="AB190" s="1">
        <v>1.803683820686</v>
      </c>
      <c r="AC190" s="1">
        <v>0</v>
      </c>
      <c r="AD190" t="s">
        <v>36</v>
      </c>
    </row>
    <row r="191" spans="1:30" x14ac:dyDescent="0.2">
      <c r="A191" s="1">
        <v>100</v>
      </c>
      <c r="B191" t="s">
        <v>242</v>
      </c>
      <c r="C191">
        <f t="shared" si="2"/>
        <v>1.5</v>
      </c>
      <c r="D191" t="s">
        <v>79</v>
      </c>
      <c r="E191" s="1">
        <v>8</v>
      </c>
      <c r="F191" s="1">
        <v>60</v>
      </c>
      <c r="G191" s="1">
        <v>1</v>
      </c>
      <c r="H191" s="1">
        <v>719</v>
      </c>
      <c r="I191" t="s">
        <v>246</v>
      </c>
      <c r="J191" s="1">
        <v>719</v>
      </c>
      <c r="K191" t="s">
        <v>246</v>
      </c>
      <c r="L191" s="1">
        <v>40.464397293174002</v>
      </c>
      <c r="M191" s="1">
        <v>1</v>
      </c>
      <c r="N191" s="1">
        <v>8</v>
      </c>
      <c r="O191" s="1">
        <v>5.625</v>
      </c>
      <c r="P191" s="1">
        <v>40.464397293174002</v>
      </c>
      <c r="Q191" s="1">
        <v>1</v>
      </c>
      <c r="R191" s="1">
        <v>8</v>
      </c>
      <c r="S191" s="1">
        <v>5.625</v>
      </c>
      <c r="T191" t="s">
        <v>191</v>
      </c>
      <c r="U191" s="1">
        <v>1.5</v>
      </c>
      <c r="V191" s="1">
        <v>46.089397293174002</v>
      </c>
      <c r="W191" s="1">
        <v>368.71517834539202</v>
      </c>
      <c r="X191" s="1">
        <v>2.7870210175090002</v>
      </c>
      <c r="Y191" s="1">
        <v>0</v>
      </c>
      <c r="Z191" s="1">
        <v>46.089397293174002</v>
      </c>
      <c r="AA191" s="1">
        <v>368.71517834539202</v>
      </c>
      <c r="AB191" s="1">
        <v>2.7870210175090002</v>
      </c>
      <c r="AC191" s="1">
        <v>0</v>
      </c>
      <c r="AD191" t="s">
        <v>36</v>
      </c>
    </row>
    <row r="192" spans="1:30" x14ac:dyDescent="0.2">
      <c r="A192" s="1">
        <v>101</v>
      </c>
      <c r="B192" t="s">
        <v>242</v>
      </c>
      <c r="C192">
        <f t="shared" si="2"/>
        <v>1.5</v>
      </c>
      <c r="D192" t="s">
        <v>79</v>
      </c>
      <c r="E192" s="1">
        <v>8</v>
      </c>
      <c r="F192" s="1">
        <v>90</v>
      </c>
      <c r="G192" s="1">
        <v>3</v>
      </c>
      <c r="H192" s="1">
        <v>708.29822128134697</v>
      </c>
      <c r="I192" t="s">
        <v>247</v>
      </c>
      <c r="J192" s="1">
        <v>716.06888370749698</v>
      </c>
      <c r="K192" t="s">
        <v>248</v>
      </c>
      <c r="L192" s="1">
        <v>51.760645228874999</v>
      </c>
      <c r="M192" s="1">
        <v>0</v>
      </c>
      <c r="N192" s="1">
        <v>8</v>
      </c>
      <c r="O192" s="1">
        <v>5.625</v>
      </c>
      <c r="P192" s="1">
        <v>51.612457174955999</v>
      </c>
      <c r="Q192" s="1">
        <v>1</v>
      </c>
      <c r="R192" s="1">
        <v>14</v>
      </c>
      <c r="S192" s="1">
        <v>3.214285714286</v>
      </c>
      <c r="T192" t="s">
        <v>191</v>
      </c>
      <c r="U192" s="1">
        <v>1.5</v>
      </c>
      <c r="V192" s="1">
        <v>56.760645228874999</v>
      </c>
      <c r="W192" s="1">
        <v>454.08516183099999</v>
      </c>
      <c r="X192" s="1">
        <v>0.239218676179</v>
      </c>
      <c r="Y192" s="1">
        <v>0</v>
      </c>
      <c r="Z192" s="1">
        <v>56.969600032099002</v>
      </c>
      <c r="AA192" s="1">
        <v>797.57440044938596</v>
      </c>
      <c r="AB192" s="1">
        <v>6.8942964932180004</v>
      </c>
      <c r="AC192" s="1">
        <v>3.3760367212E-2</v>
      </c>
      <c r="AD192" t="s">
        <v>36</v>
      </c>
    </row>
    <row r="193" spans="1:30" x14ac:dyDescent="0.2">
      <c r="A193" s="1">
        <v>102</v>
      </c>
      <c r="B193" t="s">
        <v>242</v>
      </c>
      <c r="C193">
        <f t="shared" si="2"/>
        <v>1.5</v>
      </c>
      <c r="D193" t="s">
        <v>79</v>
      </c>
      <c r="E193" s="1">
        <v>8</v>
      </c>
      <c r="F193" s="1">
        <v>120</v>
      </c>
      <c r="G193" s="1">
        <v>3</v>
      </c>
      <c r="H193" s="1">
        <v>706.04834939251998</v>
      </c>
      <c r="I193" t="s">
        <v>249</v>
      </c>
      <c r="J193" s="1">
        <v>712.05124837953304</v>
      </c>
      <c r="K193" t="s">
        <v>250</v>
      </c>
      <c r="L193" s="1">
        <v>51.881138591358997</v>
      </c>
      <c r="M193" s="1">
        <v>0</v>
      </c>
      <c r="N193" s="1">
        <v>12</v>
      </c>
      <c r="O193" s="1">
        <v>3.75</v>
      </c>
      <c r="P193" s="1">
        <v>47.319913646990003</v>
      </c>
      <c r="Q193" s="1">
        <v>2</v>
      </c>
      <c r="R193" s="1">
        <v>9</v>
      </c>
      <c r="S193" s="1">
        <v>5</v>
      </c>
      <c r="T193" t="s">
        <v>191</v>
      </c>
      <c r="U193" s="1">
        <v>1.5</v>
      </c>
      <c r="V193" s="1">
        <v>56.881138591358997</v>
      </c>
      <c r="W193" s="1">
        <v>682.573663096308</v>
      </c>
      <c r="X193" s="1">
        <v>7.3108242570659998</v>
      </c>
      <c r="Y193" s="1">
        <v>0</v>
      </c>
      <c r="Z193" s="1">
        <v>53.431024758101003</v>
      </c>
      <c r="AA193" s="1">
        <v>480.87922282290901</v>
      </c>
      <c r="AB193" s="1">
        <v>10.277386216321</v>
      </c>
      <c r="AC193" s="1">
        <v>0</v>
      </c>
      <c r="AD193" t="s">
        <v>36</v>
      </c>
    </row>
    <row r="194" spans="1:30" x14ac:dyDescent="0.2">
      <c r="A194" s="1">
        <v>103</v>
      </c>
      <c r="B194" t="s">
        <v>251</v>
      </c>
      <c r="C194">
        <f t="shared" si="2"/>
        <v>1</v>
      </c>
      <c r="D194" t="s">
        <v>79</v>
      </c>
      <c r="E194" s="1">
        <v>4</v>
      </c>
      <c r="F194" s="1">
        <v>60</v>
      </c>
      <c r="G194" s="1">
        <v>3</v>
      </c>
      <c r="H194" s="1">
        <v>729.02775637731997</v>
      </c>
      <c r="I194" t="s">
        <v>252</v>
      </c>
      <c r="L194" s="1">
        <v>36.820721296484002</v>
      </c>
      <c r="M194" s="1">
        <v>0</v>
      </c>
      <c r="N194" s="1">
        <v>11</v>
      </c>
      <c r="O194" s="1">
        <v>3.7272727272730002</v>
      </c>
      <c r="T194" t="s">
        <v>191</v>
      </c>
      <c r="U194" s="1">
        <v>1</v>
      </c>
      <c r="V194" s="1">
        <v>41.820721296484002</v>
      </c>
      <c r="W194" s="1">
        <v>460.02793426132399</v>
      </c>
      <c r="X194" s="1">
        <v>4.0442220568179996</v>
      </c>
      <c r="Y194" s="1">
        <v>0</v>
      </c>
      <c r="AD194" t="s">
        <v>36</v>
      </c>
    </row>
    <row r="195" spans="1:30" x14ac:dyDescent="0.2">
      <c r="A195" s="1">
        <v>104</v>
      </c>
      <c r="B195" t="s">
        <v>251</v>
      </c>
      <c r="C195">
        <f t="shared" ref="C195:C258" si="3">VALUE(_xlfn.TEXTBEFORE(_xlfn.TEXTAFTER(B195,"_",-1),".dat"))</f>
        <v>1</v>
      </c>
      <c r="D195" t="s">
        <v>79</v>
      </c>
      <c r="E195" s="1">
        <v>4</v>
      </c>
      <c r="F195" s="1">
        <v>90</v>
      </c>
      <c r="G195" s="1">
        <v>3</v>
      </c>
      <c r="H195" s="1">
        <v>627.35733730830896</v>
      </c>
      <c r="I195" t="s">
        <v>253</v>
      </c>
      <c r="J195" s="1">
        <v>735.61552812808804</v>
      </c>
      <c r="K195" t="s">
        <v>254</v>
      </c>
      <c r="L195" s="1">
        <v>55.680719868018997</v>
      </c>
      <c r="M195" s="1">
        <v>0</v>
      </c>
      <c r="N195" s="1">
        <v>13</v>
      </c>
      <c r="O195" s="1">
        <v>3.615384615385</v>
      </c>
      <c r="P195" s="1">
        <v>63.125926531529998</v>
      </c>
      <c r="Q195" s="1">
        <v>1</v>
      </c>
      <c r="R195" s="1">
        <v>6</v>
      </c>
      <c r="S195" s="1">
        <v>3.333333333333</v>
      </c>
      <c r="T195" t="s">
        <v>191</v>
      </c>
      <c r="U195" s="1">
        <v>1</v>
      </c>
      <c r="V195" s="1">
        <v>60.680719868018997</v>
      </c>
      <c r="W195" s="1">
        <v>728.16863841622796</v>
      </c>
      <c r="X195" s="1">
        <v>0.80053069179199998</v>
      </c>
      <c r="Y195" s="1">
        <v>0</v>
      </c>
      <c r="Z195" s="1">
        <v>68.959259864863995</v>
      </c>
      <c r="AA195" s="1">
        <v>413.755559189184</v>
      </c>
      <c r="AB195" s="1">
        <v>3.3455766614389999</v>
      </c>
      <c r="AC195" s="1">
        <v>0.58769165080700003</v>
      </c>
      <c r="AD195" t="s">
        <v>36</v>
      </c>
    </row>
    <row r="196" spans="1:30" x14ac:dyDescent="0.2">
      <c r="A196" s="1">
        <v>105</v>
      </c>
      <c r="B196" t="s">
        <v>251</v>
      </c>
      <c r="C196">
        <f t="shared" si="3"/>
        <v>1</v>
      </c>
      <c r="D196" t="s">
        <v>79</v>
      </c>
      <c r="E196" s="1">
        <v>4</v>
      </c>
      <c r="F196" s="1">
        <v>120</v>
      </c>
      <c r="G196" s="1">
        <v>3</v>
      </c>
      <c r="H196" s="1">
        <v>627.35733730830896</v>
      </c>
      <c r="I196" t="s">
        <v>253</v>
      </c>
      <c r="J196" s="1">
        <v>739.99301653046302</v>
      </c>
      <c r="K196" t="s">
        <v>255</v>
      </c>
      <c r="L196" s="1">
        <v>55.680719868018997</v>
      </c>
      <c r="M196" s="1">
        <v>0</v>
      </c>
      <c r="N196" s="1">
        <v>13</v>
      </c>
      <c r="O196" s="1">
        <v>3.615384615385</v>
      </c>
      <c r="P196" s="1">
        <v>54.042051266245998</v>
      </c>
      <c r="Q196" s="1">
        <v>1</v>
      </c>
      <c r="R196" s="1">
        <v>13</v>
      </c>
      <c r="S196" s="1">
        <v>3.615384615385</v>
      </c>
      <c r="T196" t="s">
        <v>191</v>
      </c>
      <c r="U196" s="1">
        <v>1</v>
      </c>
      <c r="V196" s="1">
        <v>60.680719868018997</v>
      </c>
      <c r="W196" s="1">
        <v>728.16863841622796</v>
      </c>
      <c r="X196" s="1">
        <v>0.80053069179199998</v>
      </c>
      <c r="Y196" s="1">
        <v>0</v>
      </c>
      <c r="Z196" s="1">
        <v>59.426666650861002</v>
      </c>
      <c r="AA196" s="1">
        <v>772.54666646119301</v>
      </c>
      <c r="AB196" s="1">
        <v>5.1236424341619999</v>
      </c>
      <c r="AC196" s="1">
        <v>0</v>
      </c>
      <c r="AD196" t="s">
        <v>36</v>
      </c>
    </row>
    <row r="197" spans="1:30" x14ac:dyDescent="0.2">
      <c r="A197" s="1">
        <v>106</v>
      </c>
      <c r="B197" t="s">
        <v>251</v>
      </c>
      <c r="C197">
        <f t="shared" si="3"/>
        <v>1</v>
      </c>
      <c r="D197" t="s">
        <v>79</v>
      </c>
      <c r="E197" s="1">
        <v>8</v>
      </c>
      <c r="F197" s="1">
        <v>60</v>
      </c>
      <c r="G197" s="1">
        <v>3</v>
      </c>
      <c r="H197" s="1">
        <v>629.78227827675596</v>
      </c>
      <c r="I197" t="s">
        <v>256</v>
      </c>
      <c r="J197" s="1">
        <v>629.78227827675596</v>
      </c>
      <c r="K197" t="s">
        <v>256</v>
      </c>
      <c r="L197" s="1">
        <v>41.166609277439001</v>
      </c>
      <c r="M197" s="1">
        <v>1</v>
      </c>
      <c r="N197" s="1">
        <v>7</v>
      </c>
      <c r="O197" s="1">
        <v>5.8571428571429998</v>
      </c>
      <c r="P197" s="1">
        <v>41.166609277439001</v>
      </c>
      <c r="Q197" s="1">
        <v>1</v>
      </c>
      <c r="R197" s="1">
        <v>7</v>
      </c>
      <c r="S197" s="1">
        <v>5.8571428571429998</v>
      </c>
      <c r="T197" t="s">
        <v>191</v>
      </c>
      <c r="U197" s="1">
        <v>1</v>
      </c>
      <c r="V197" s="1">
        <v>46.880894991723999</v>
      </c>
      <c r="W197" s="1">
        <v>328.16626494206798</v>
      </c>
      <c r="X197" s="1">
        <v>9.068166611374</v>
      </c>
      <c r="Y197" s="1">
        <v>0</v>
      </c>
      <c r="Z197" s="1">
        <v>46.880894991723999</v>
      </c>
      <c r="AA197" s="1">
        <v>328.16626494206798</v>
      </c>
      <c r="AB197" s="1">
        <v>9.068166611374</v>
      </c>
      <c r="AC197" s="1">
        <v>0</v>
      </c>
      <c r="AD197" t="s">
        <v>36</v>
      </c>
    </row>
    <row r="198" spans="1:30" x14ac:dyDescent="0.2">
      <c r="A198" s="1">
        <v>107</v>
      </c>
      <c r="B198" t="s">
        <v>251</v>
      </c>
      <c r="C198">
        <f t="shared" si="3"/>
        <v>1</v>
      </c>
      <c r="D198" t="s">
        <v>79</v>
      </c>
      <c r="E198" s="1">
        <v>8</v>
      </c>
      <c r="F198" s="1">
        <v>90</v>
      </c>
      <c r="G198" s="1">
        <v>4</v>
      </c>
      <c r="H198" s="1">
        <v>587.32840800016902</v>
      </c>
      <c r="I198" t="s">
        <v>257</v>
      </c>
      <c r="J198" s="1">
        <v>643.04834939251998</v>
      </c>
      <c r="K198" t="s">
        <v>258</v>
      </c>
      <c r="L198" s="1">
        <v>58.763556540932001</v>
      </c>
      <c r="M198" s="1">
        <v>0</v>
      </c>
      <c r="N198" s="1">
        <v>9</v>
      </c>
      <c r="O198" s="1">
        <v>5.4444444444439997</v>
      </c>
      <c r="P198" s="1">
        <v>53.791933717428002</v>
      </c>
      <c r="Q198" s="1">
        <v>1</v>
      </c>
      <c r="R198" s="1">
        <v>8</v>
      </c>
      <c r="S198" s="1">
        <v>5.875</v>
      </c>
      <c r="T198" t="s">
        <v>191</v>
      </c>
      <c r="U198" s="1">
        <v>1</v>
      </c>
      <c r="V198" s="1">
        <v>63.763556540932001</v>
      </c>
      <c r="W198" s="1">
        <v>573.87200886838798</v>
      </c>
      <c r="X198" s="1">
        <v>10.152973043632</v>
      </c>
      <c r="Y198" s="1">
        <v>0</v>
      </c>
      <c r="Z198" s="1">
        <v>59.416933717428002</v>
      </c>
      <c r="AA198" s="1">
        <v>475.33546973942401</v>
      </c>
      <c r="AB198" s="1">
        <v>4.2672985223140003</v>
      </c>
      <c r="AC198" s="1">
        <v>0</v>
      </c>
      <c r="AD198" t="s">
        <v>36</v>
      </c>
    </row>
    <row r="199" spans="1:30" x14ac:dyDescent="0.2">
      <c r="A199" s="1">
        <v>107</v>
      </c>
      <c r="B199" t="s">
        <v>251</v>
      </c>
      <c r="C199">
        <f t="shared" si="3"/>
        <v>1</v>
      </c>
      <c r="D199" t="s">
        <v>79</v>
      </c>
      <c r="E199" s="1">
        <v>8</v>
      </c>
      <c r="F199" s="1">
        <v>90</v>
      </c>
      <c r="G199" s="1">
        <v>4</v>
      </c>
      <c r="H199" s="1">
        <v>587.32840800016902</v>
      </c>
      <c r="I199" t="s">
        <v>257</v>
      </c>
      <c r="J199" s="1">
        <v>643.04834939251998</v>
      </c>
      <c r="K199" t="s">
        <v>259</v>
      </c>
      <c r="L199" s="1">
        <v>58.763556540932001</v>
      </c>
      <c r="M199" s="1">
        <v>0</v>
      </c>
      <c r="N199" s="1">
        <v>9</v>
      </c>
      <c r="O199" s="1">
        <v>5.4444444444439997</v>
      </c>
      <c r="P199" s="1">
        <v>53.957434842563998</v>
      </c>
      <c r="Q199" s="1">
        <v>2</v>
      </c>
      <c r="R199" s="1">
        <v>8</v>
      </c>
      <c r="S199" s="1">
        <v>5.875</v>
      </c>
      <c r="T199" t="s">
        <v>191</v>
      </c>
      <c r="U199" s="1">
        <v>1</v>
      </c>
      <c r="V199" s="1">
        <v>63.763556540932001</v>
      </c>
      <c r="W199" s="1">
        <v>573.87200886838798</v>
      </c>
      <c r="X199" s="1">
        <v>10.152973043632</v>
      </c>
      <c r="Y199" s="1">
        <v>0</v>
      </c>
      <c r="Z199" s="1">
        <v>60.207434842563998</v>
      </c>
      <c r="AA199" s="1">
        <v>481.65947874051199</v>
      </c>
      <c r="AB199" s="1">
        <v>3.840568670083</v>
      </c>
      <c r="AC199" s="1">
        <v>2.5360277765000001E-2</v>
      </c>
      <c r="AD199" t="s">
        <v>36</v>
      </c>
    </row>
    <row r="200" spans="1:30" x14ac:dyDescent="0.2">
      <c r="A200" s="1">
        <v>108</v>
      </c>
      <c r="B200" t="s">
        <v>251</v>
      </c>
      <c r="C200">
        <f t="shared" si="3"/>
        <v>1</v>
      </c>
      <c r="D200" t="s">
        <v>79</v>
      </c>
      <c r="E200" s="1">
        <v>8</v>
      </c>
      <c r="F200" s="1">
        <v>120</v>
      </c>
      <c r="G200" s="1">
        <v>4</v>
      </c>
      <c r="H200" s="1">
        <v>583.36067977499795</v>
      </c>
      <c r="I200" t="s">
        <v>260</v>
      </c>
      <c r="J200" s="1">
        <v>652.313207915828</v>
      </c>
      <c r="K200" t="s">
        <v>261</v>
      </c>
      <c r="L200" s="1">
        <v>52.447924383679997</v>
      </c>
      <c r="M200" s="1">
        <v>0</v>
      </c>
      <c r="N200" s="1">
        <v>9</v>
      </c>
      <c r="O200" s="1">
        <v>5.5555555555560003</v>
      </c>
      <c r="P200" s="1">
        <v>53.252129837170003</v>
      </c>
      <c r="Q200" s="1">
        <v>1</v>
      </c>
      <c r="R200" s="1">
        <v>9</v>
      </c>
      <c r="S200" s="1">
        <v>5.2222222222220003</v>
      </c>
      <c r="T200" t="s">
        <v>191</v>
      </c>
      <c r="U200" s="1">
        <v>1</v>
      </c>
      <c r="V200" s="1">
        <v>57.447924383679997</v>
      </c>
      <c r="W200" s="1">
        <v>517.03131945311998</v>
      </c>
      <c r="X200" s="1">
        <v>10.232392113635999</v>
      </c>
      <c r="Y200" s="1">
        <v>0</v>
      </c>
      <c r="Z200" s="1">
        <v>58.807685392726</v>
      </c>
      <c r="AA200" s="1">
        <v>529.26916853453395</v>
      </c>
      <c r="AB200" s="1">
        <v>10.429496280681001</v>
      </c>
      <c r="AC200" s="1">
        <v>0</v>
      </c>
      <c r="AD200" t="s">
        <v>36</v>
      </c>
    </row>
    <row r="201" spans="1:30" x14ac:dyDescent="0.2">
      <c r="A201" s="1">
        <v>109</v>
      </c>
      <c r="B201" t="s">
        <v>262</v>
      </c>
      <c r="C201">
        <f t="shared" si="3"/>
        <v>2.5</v>
      </c>
      <c r="D201" t="s">
        <v>79</v>
      </c>
      <c r="E201" s="1">
        <v>4</v>
      </c>
      <c r="F201" s="1">
        <v>60</v>
      </c>
      <c r="G201" s="1">
        <v>5</v>
      </c>
      <c r="H201" s="1">
        <v>1049.6619037896901</v>
      </c>
      <c r="I201" t="s">
        <v>263</v>
      </c>
      <c r="J201" s="1">
        <v>1049.6619037896901</v>
      </c>
      <c r="K201" t="s">
        <v>263</v>
      </c>
      <c r="L201" s="1">
        <v>41.105884658466003</v>
      </c>
      <c r="M201" s="1">
        <v>1</v>
      </c>
      <c r="N201" s="1">
        <v>13</v>
      </c>
      <c r="O201" s="1">
        <v>3.4615384615379998</v>
      </c>
      <c r="P201" s="1">
        <v>41.105884658466003</v>
      </c>
      <c r="Q201" s="1">
        <v>1</v>
      </c>
      <c r="R201" s="1">
        <v>13</v>
      </c>
      <c r="S201" s="1">
        <v>3.4615384615379998</v>
      </c>
      <c r="T201" t="s">
        <v>191</v>
      </c>
      <c r="U201" s="1">
        <v>2.5</v>
      </c>
      <c r="V201" s="1">
        <v>46.490500043080999</v>
      </c>
      <c r="W201" s="1">
        <v>604.37650056005305</v>
      </c>
      <c r="X201" s="1">
        <v>18.469225134559998</v>
      </c>
      <c r="Y201" s="1">
        <v>0</v>
      </c>
      <c r="Z201" s="1">
        <v>46.490500043080999</v>
      </c>
      <c r="AA201" s="1">
        <v>604.37650056005305</v>
      </c>
      <c r="AB201" s="1">
        <v>18.469225134559998</v>
      </c>
      <c r="AC201" s="1">
        <v>0</v>
      </c>
      <c r="AD201" t="s">
        <v>36</v>
      </c>
    </row>
    <row r="202" spans="1:30" x14ac:dyDescent="0.2">
      <c r="A202" s="1">
        <v>110</v>
      </c>
      <c r="B202" t="s">
        <v>262</v>
      </c>
      <c r="C202">
        <f t="shared" si="3"/>
        <v>2.5</v>
      </c>
      <c r="D202" t="s">
        <v>79</v>
      </c>
      <c r="E202" s="1">
        <v>4</v>
      </c>
      <c r="F202" s="1">
        <v>90</v>
      </c>
      <c r="G202" s="1">
        <v>2</v>
      </c>
      <c r="H202" s="1">
        <v>1006.80350850198</v>
      </c>
      <c r="I202" t="s">
        <v>264</v>
      </c>
      <c r="J202" s="1">
        <v>1006.80350850198</v>
      </c>
      <c r="K202" t="s">
        <v>264</v>
      </c>
      <c r="L202" s="1">
        <v>57.382967992636999</v>
      </c>
      <c r="M202" s="1">
        <v>4</v>
      </c>
      <c r="N202" s="1">
        <v>16</v>
      </c>
      <c r="O202" s="1">
        <v>3.0625</v>
      </c>
      <c r="P202" s="1">
        <v>57.382967992636999</v>
      </c>
      <c r="Q202" s="1">
        <v>4</v>
      </c>
      <c r="R202" s="1">
        <v>16</v>
      </c>
      <c r="S202" s="1">
        <v>3.0625</v>
      </c>
      <c r="T202" t="s">
        <v>191</v>
      </c>
      <c r="U202" s="1">
        <v>2.5</v>
      </c>
      <c r="V202" s="1">
        <v>63.007967992636999</v>
      </c>
      <c r="W202" s="1">
        <v>1008.1274878821901</v>
      </c>
      <c r="X202" s="1">
        <v>10.665669284677</v>
      </c>
      <c r="Y202" s="1">
        <v>0</v>
      </c>
      <c r="Z202" s="1">
        <v>63.007967992636999</v>
      </c>
      <c r="AA202" s="1">
        <v>1008.1274878821901</v>
      </c>
      <c r="AB202" s="1">
        <v>10.665669284677</v>
      </c>
      <c r="AC202" s="1">
        <v>0</v>
      </c>
      <c r="AD202" t="s">
        <v>36</v>
      </c>
    </row>
    <row r="203" spans="1:30" x14ac:dyDescent="0.2">
      <c r="A203" s="1">
        <v>111</v>
      </c>
      <c r="B203" t="s">
        <v>262</v>
      </c>
      <c r="C203">
        <f t="shared" si="3"/>
        <v>2.5</v>
      </c>
      <c r="D203" t="s">
        <v>79</v>
      </c>
      <c r="E203" s="1">
        <v>4</v>
      </c>
      <c r="F203" s="1">
        <v>120</v>
      </c>
      <c r="G203" s="1">
        <v>5</v>
      </c>
      <c r="H203" s="1">
        <v>1004.70992026436</v>
      </c>
      <c r="I203" t="s">
        <v>265</v>
      </c>
      <c r="J203" s="1">
        <v>1004.70992026436</v>
      </c>
      <c r="K203" t="s">
        <v>265</v>
      </c>
      <c r="L203" s="1">
        <v>52.446666291108997</v>
      </c>
      <c r="M203" s="1">
        <v>1</v>
      </c>
      <c r="N203" s="1">
        <v>13</v>
      </c>
      <c r="O203" s="1">
        <v>3.615384615385</v>
      </c>
      <c r="P203" s="1">
        <v>52.446666291108997</v>
      </c>
      <c r="Q203" s="1">
        <v>1</v>
      </c>
      <c r="R203" s="1">
        <v>13</v>
      </c>
      <c r="S203" s="1">
        <v>3.615384615385</v>
      </c>
      <c r="T203" t="s">
        <v>191</v>
      </c>
      <c r="U203" s="1">
        <v>2.5</v>
      </c>
      <c r="V203" s="1">
        <v>57.446666291108997</v>
      </c>
      <c r="W203" s="1">
        <v>746.80666178441697</v>
      </c>
      <c r="X203" s="1">
        <v>15.418520731698999</v>
      </c>
      <c r="Y203" s="1">
        <v>0</v>
      </c>
      <c r="Z203" s="1">
        <v>57.446666291108997</v>
      </c>
      <c r="AA203" s="1">
        <v>746.80666178441697</v>
      </c>
      <c r="AB203" s="1">
        <v>15.418520731698999</v>
      </c>
      <c r="AC203" s="1">
        <v>0</v>
      </c>
      <c r="AD203" t="s">
        <v>36</v>
      </c>
    </row>
    <row r="204" spans="1:30" x14ac:dyDescent="0.2">
      <c r="A204" s="1">
        <v>112</v>
      </c>
      <c r="B204" t="s">
        <v>262</v>
      </c>
      <c r="C204">
        <f t="shared" si="3"/>
        <v>2.5</v>
      </c>
      <c r="D204" t="s">
        <v>79</v>
      </c>
      <c r="E204" s="1">
        <v>8</v>
      </c>
      <c r="F204" s="1">
        <v>60</v>
      </c>
      <c r="G204" s="1">
        <v>5</v>
      </c>
      <c r="H204" s="1">
        <v>1028.3132079158199</v>
      </c>
      <c r="I204" t="s">
        <v>266</v>
      </c>
      <c r="J204" s="1">
        <v>1028.3132079158199</v>
      </c>
      <c r="K204" t="s">
        <v>266</v>
      </c>
      <c r="L204" s="1">
        <v>41.121283342882002</v>
      </c>
      <c r="M204" s="1">
        <v>1</v>
      </c>
      <c r="N204" s="1">
        <v>11</v>
      </c>
      <c r="O204" s="1">
        <v>4.2727272727269998</v>
      </c>
      <c r="P204" s="1">
        <v>41.121283342882002</v>
      </c>
      <c r="Q204" s="1">
        <v>1</v>
      </c>
      <c r="R204" s="1">
        <v>11</v>
      </c>
      <c r="S204" s="1">
        <v>4.2727272727269998</v>
      </c>
      <c r="T204" t="s">
        <v>191</v>
      </c>
      <c r="U204" s="1">
        <v>2.5</v>
      </c>
      <c r="V204" s="1">
        <v>46.121283342882002</v>
      </c>
      <c r="W204" s="1">
        <v>507.33411677170199</v>
      </c>
      <c r="X204" s="1">
        <v>30.237402654288999</v>
      </c>
      <c r="Y204" s="1">
        <v>0</v>
      </c>
      <c r="Z204" s="1">
        <v>46.121283342882002</v>
      </c>
      <c r="AA204" s="1">
        <v>507.33411677170199</v>
      </c>
      <c r="AB204" s="1">
        <v>30.237402654288999</v>
      </c>
      <c r="AC204" s="1">
        <v>0</v>
      </c>
      <c r="AD204" t="s">
        <v>36</v>
      </c>
    </row>
    <row r="205" spans="1:30" x14ac:dyDescent="0.2">
      <c r="A205" s="1">
        <v>113</v>
      </c>
      <c r="B205" t="s">
        <v>262</v>
      </c>
      <c r="C205">
        <f t="shared" si="3"/>
        <v>2.5</v>
      </c>
      <c r="D205" t="s">
        <v>79</v>
      </c>
      <c r="E205" s="1">
        <v>8</v>
      </c>
      <c r="F205" s="1">
        <v>90</v>
      </c>
      <c r="G205" s="1">
        <v>1</v>
      </c>
      <c r="H205" s="1">
        <v>1004.70992026436</v>
      </c>
      <c r="I205" t="s">
        <v>267</v>
      </c>
      <c r="J205" s="1">
        <v>1004.70992026436</v>
      </c>
      <c r="K205" t="s">
        <v>267</v>
      </c>
      <c r="L205" s="1">
        <v>56.739046615935997</v>
      </c>
      <c r="M205" s="1">
        <v>2</v>
      </c>
      <c r="N205" s="1">
        <v>11</v>
      </c>
      <c r="O205" s="1">
        <v>4.363636363636</v>
      </c>
      <c r="P205" s="1">
        <v>56.739046615935997</v>
      </c>
      <c r="Q205" s="1">
        <v>2</v>
      </c>
      <c r="R205" s="1">
        <v>11</v>
      </c>
      <c r="S205" s="1">
        <v>4.363636363636</v>
      </c>
      <c r="T205" t="s">
        <v>191</v>
      </c>
      <c r="U205" s="1">
        <v>2.5</v>
      </c>
      <c r="V205" s="1">
        <v>61.739046615935997</v>
      </c>
      <c r="W205" s="1">
        <v>679.12951277529601</v>
      </c>
      <c r="X205" s="1">
        <v>19.911019000532999</v>
      </c>
      <c r="Y205" s="1">
        <v>0</v>
      </c>
      <c r="Z205" s="1">
        <v>61.739046615935997</v>
      </c>
      <c r="AA205" s="1">
        <v>679.12951277529601</v>
      </c>
      <c r="AB205" s="1">
        <v>19.911019000532999</v>
      </c>
      <c r="AC205" s="1">
        <v>0</v>
      </c>
      <c r="AD205" t="s">
        <v>36</v>
      </c>
    </row>
    <row r="206" spans="1:30" x14ac:dyDescent="0.2">
      <c r="A206" s="1">
        <v>114</v>
      </c>
      <c r="B206" t="s">
        <v>262</v>
      </c>
      <c r="C206">
        <f t="shared" si="3"/>
        <v>2.5</v>
      </c>
      <c r="D206" t="s">
        <v>79</v>
      </c>
      <c r="E206" s="1">
        <v>8</v>
      </c>
      <c r="F206" s="1">
        <v>120</v>
      </c>
      <c r="G206" s="1">
        <v>5</v>
      </c>
      <c r="H206" s="1">
        <v>1004.70992026436</v>
      </c>
      <c r="I206" t="s">
        <v>268</v>
      </c>
      <c r="J206" s="1">
        <v>1004.70992026436</v>
      </c>
      <c r="K206" t="s">
        <v>268</v>
      </c>
      <c r="L206" s="1">
        <v>65.666518049180993</v>
      </c>
      <c r="M206" s="1">
        <v>5</v>
      </c>
      <c r="N206" s="1">
        <v>11</v>
      </c>
      <c r="O206" s="1">
        <v>4.2727272727269998</v>
      </c>
      <c r="P206" s="1">
        <v>65.666518049180993</v>
      </c>
      <c r="Q206" s="1">
        <v>5</v>
      </c>
      <c r="R206" s="1">
        <v>11</v>
      </c>
      <c r="S206" s="1">
        <v>4.2727272727269998</v>
      </c>
      <c r="T206" t="s">
        <v>191</v>
      </c>
      <c r="U206" s="1">
        <v>2.5</v>
      </c>
      <c r="V206" s="1">
        <v>72.484699867363005</v>
      </c>
      <c r="W206" s="1">
        <v>797.33169854099299</v>
      </c>
      <c r="X206" s="1">
        <v>14.929648962881</v>
      </c>
      <c r="Y206" s="1">
        <v>1.1271276668429999</v>
      </c>
      <c r="Z206" s="1">
        <v>72.484699867363005</v>
      </c>
      <c r="AA206" s="1">
        <v>797.33169854099299</v>
      </c>
      <c r="AB206" s="1">
        <v>14.929648962881</v>
      </c>
      <c r="AC206" s="1">
        <v>1.1271276668429999</v>
      </c>
      <c r="AD206" t="s">
        <v>36</v>
      </c>
    </row>
    <row r="207" spans="1:30" x14ac:dyDescent="0.2">
      <c r="A207" s="1">
        <v>115</v>
      </c>
      <c r="B207" t="s">
        <v>269</v>
      </c>
      <c r="C207">
        <f t="shared" si="3"/>
        <v>2</v>
      </c>
      <c r="D207" t="s">
        <v>79</v>
      </c>
      <c r="E207" s="1">
        <v>4</v>
      </c>
      <c r="F207" s="1">
        <v>60</v>
      </c>
      <c r="G207" s="1">
        <v>5</v>
      </c>
      <c r="H207" s="1">
        <v>897.61552812808804</v>
      </c>
      <c r="I207" t="s">
        <v>270</v>
      </c>
      <c r="J207" s="1">
        <v>897.61552812808804</v>
      </c>
      <c r="K207" t="s">
        <v>270</v>
      </c>
      <c r="L207" s="1">
        <v>37.644861602760997</v>
      </c>
      <c r="M207" s="1">
        <v>1</v>
      </c>
      <c r="N207" s="1">
        <v>11</v>
      </c>
      <c r="O207" s="1">
        <v>3.636363636364</v>
      </c>
      <c r="P207" s="1">
        <v>37.644861602760997</v>
      </c>
      <c r="Q207" s="1">
        <v>1</v>
      </c>
      <c r="R207" s="1">
        <v>11</v>
      </c>
      <c r="S207" s="1">
        <v>3.636363636364</v>
      </c>
      <c r="T207" t="s">
        <v>191</v>
      </c>
      <c r="U207" s="1">
        <v>2</v>
      </c>
      <c r="V207" s="1">
        <v>43.099407057306998</v>
      </c>
      <c r="W207" s="1">
        <v>474.09347763037698</v>
      </c>
      <c r="X207" s="1">
        <v>2.9568067834299998</v>
      </c>
      <c r="Y207" s="1">
        <v>1.3078324764060001</v>
      </c>
      <c r="Z207" s="1">
        <v>43.099407057306998</v>
      </c>
      <c r="AA207" s="1">
        <v>474.09347763037698</v>
      </c>
      <c r="AB207" s="1">
        <v>2.9568067834299998</v>
      </c>
      <c r="AC207" s="1">
        <v>1.3078324764060001</v>
      </c>
      <c r="AD207" t="s">
        <v>36</v>
      </c>
    </row>
    <row r="208" spans="1:30" x14ac:dyDescent="0.2">
      <c r="A208" s="1">
        <v>116</v>
      </c>
      <c r="B208" t="s">
        <v>269</v>
      </c>
      <c r="C208">
        <f t="shared" si="3"/>
        <v>2</v>
      </c>
      <c r="D208" t="s">
        <v>79</v>
      </c>
      <c r="E208" s="1">
        <v>4</v>
      </c>
      <c r="F208" s="1">
        <v>90</v>
      </c>
      <c r="G208" s="1">
        <v>4</v>
      </c>
      <c r="H208" s="1">
        <v>853.61552812808804</v>
      </c>
      <c r="I208" t="s">
        <v>271</v>
      </c>
      <c r="J208" s="1">
        <v>853.61552812808804</v>
      </c>
      <c r="K208" t="s">
        <v>271</v>
      </c>
      <c r="L208" s="1">
        <v>50.883235956486999</v>
      </c>
      <c r="M208" s="1">
        <v>1</v>
      </c>
      <c r="N208" s="1">
        <v>14</v>
      </c>
      <c r="O208" s="1">
        <v>3.1428571428569998</v>
      </c>
      <c r="P208" s="1">
        <v>50.883235956486999</v>
      </c>
      <c r="Q208" s="1">
        <v>1</v>
      </c>
      <c r="R208" s="1">
        <v>14</v>
      </c>
      <c r="S208" s="1">
        <v>3.1428571428569998</v>
      </c>
      <c r="T208" t="s">
        <v>191</v>
      </c>
      <c r="U208" s="1">
        <v>2</v>
      </c>
      <c r="V208" s="1">
        <v>55.883235956486999</v>
      </c>
      <c r="W208" s="1">
        <v>782.36530339081799</v>
      </c>
      <c r="X208" s="1">
        <v>1.225467699328</v>
      </c>
      <c r="Y208" s="1">
        <v>0</v>
      </c>
      <c r="Z208" s="1">
        <v>55.883235956486999</v>
      </c>
      <c r="AA208" s="1">
        <v>782.36530339081799</v>
      </c>
      <c r="AB208" s="1">
        <v>1.225467699328</v>
      </c>
      <c r="AC208" s="1">
        <v>0</v>
      </c>
      <c r="AD208" t="s">
        <v>36</v>
      </c>
    </row>
    <row r="209" spans="1:30" x14ac:dyDescent="0.2">
      <c r="A209" s="1">
        <v>117</v>
      </c>
      <c r="B209" t="s">
        <v>269</v>
      </c>
      <c r="C209">
        <f t="shared" si="3"/>
        <v>2</v>
      </c>
      <c r="D209" t="s">
        <v>79</v>
      </c>
      <c r="E209" s="1">
        <v>4</v>
      </c>
      <c r="F209" s="1">
        <v>120</v>
      </c>
      <c r="G209" s="1">
        <v>1</v>
      </c>
      <c r="H209" s="1">
        <v>853.61552812808804</v>
      </c>
      <c r="I209" t="s">
        <v>272</v>
      </c>
      <c r="J209" s="1">
        <v>853.61552812808804</v>
      </c>
      <c r="K209" t="s">
        <v>272</v>
      </c>
      <c r="L209" s="1">
        <v>53.996527647116999</v>
      </c>
      <c r="M209" s="1">
        <v>1</v>
      </c>
      <c r="N209" s="1">
        <v>13</v>
      </c>
      <c r="O209" s="1">
        <v>3.384615384615</v>
      </c>
      <c r="P209" s="1">
        <v>53.996527647116999</v>
      </c>
      <c r="Q209" s="1">
        <v>1</v>
      </c>
      <c r="R209" s="1">
        <v>13</v>
      </c>
      <c r="S209" s="1">
        <v>3.384615384615</v>
      </c>
      <c r="T209" t="s">
        <v>191</v>
      </c>
      <c r="U209" s="1">
        <v>2</v>
      </c>
      <c r="V209" s="1">
        <v>58.996527647116999</v>
      </c>
      <c r="W209" s="1">
        <v>766.95485941252105</v>
      </c>
      <c r="X209" s="1">
        <v>6.2251397591990001</v>
      </c>
      <c r="Y209" s="1">
        <v>0</v>
      </c>
      <c r="Z209" s="1">
        <v>58.996527647116999</v>
      </c>
      <c r="AA209" s="1">
        <v>766.95485941252105</v>
      </c>
      <c r="AB209" s="1">
        <v>6.2251397591990001</v>
      </c>
      <c r="AC209" s="1">
        <v>0</v>
      </c>
      <c r="AD209" t="s">
        <v>36</v>
      </c>
    </row>
    <row r="210" spans="1:30" x14ac:dyDescent="0.2">
      <c r="A210" s="1">
        <v>118</v>
      </c>
      <c r="B210" t="s">
        <v>269</v>
      </c>
      <c r="C210">
        <f t="shared" si="3"/>
        <v>2</v>
      </c>
      <c r="D210" t="s">
        <v>79</v>
      </c>
      <c r="E210" s="1">
        <v>8</v>
      </c>
      <c r="F210" s="1">
        <v>60</v>
      </c>
      <c r="G210" s="1">
        <v>4</v>
      </c>
      <c r="H210" s="1">
        <v>856.61552812808804</v>
      </c>
      <c r="I210" t="s">
        <v>273</v>
      </c>
      <c r="J210" s="1">
        <v>856.61552812808804</v>
      </c>
      <c r="K210" t="s">
        <v>273</v>
      </c>
      <c r="L210" s="1">
        <v>39.524980298659003</v>
      </c>
      <c r="M210" s="1">
        <v>1</v>
      </c>
      <c r="N210" s="1">
        <v>8</v>
      </c>
      <c r="O210" s="1">
        <v>5.25</v>
      </c>
      <c r="P210" s="1">
        <v>39.524980298659003</v>
      </c>
      <c r="Q210" s="1">
        <v>1</v>
      </c>
      <c r="R210" s="1">
        <v>8</v>
      </c>
      <c r="S210" s="1">
        <v>5.25</v>
      </c>
      <c r="T210" t="s">
        <v>191</v>
      </c>
      <c r="U210" s="1">
        <v>2</v>
      </c>
      <c r="V210" s="1">
        <v>44.524980298659003</v>
      </c>
      <c r="W210" s="1">
        <v>311.67486209061298</v>
      </c>
      <c r="X210" s="1">
        <v>19.987678487061999</v>
      </c>
      <c r="Y210" s="1">
        <v>0</v>
      </c>
      <c r="Z210" s="1">
        <v>44.524980298659003</v>
      </c>
      <c r="AA210" s="1">
        <v>311.67486209061298</v>
      </c>
      <c r="AB210" s="1">
        <v>19.987678487061999</v>
      </c>
      <c r="AC210" s="1">
        <v>0</v>
      </c>
      <c r="AD210" t="s">
        <v>36</v>
      </c>
    </row>
    <row r="211" spans="1:30" x14ac:dyDescent="0.2">
      <c r="A211" s="1">
        <v>119</v>
      </c>
      <c r="B211" t="s">
        <v>269</v>
      </c>
      <c r="C211">
        <f t="shared" si="3"/>
        <v>2</v>
      </c>
      <c r="D211" t="s">
        <v>79</v>
      </c>
      <c r="E211" s="1">
        <v>8</v>
      </c>
      <c r="F211" s="1">
        <v>90</v>
      </c>
      <c r="G211" s="1">
        <v>1</v>
      </c>
      <c r="H211" s="1">
        <v>848.61552812808804</v>
      </c>
      <c r="I211" t="s">
        <v>274</v>
      </c>
      <c r="J211" s="1">
        <v>848.61552812808804</v>
      </c>
      <c r="K211" t="s">
        <v>274</v>
      </c>
      <c r="L211" s="1">
        <v>53.774978411817003</v>
      </c>
      <c r="M211" s="1">
        <v>1</v>
      </c>
      <c r="N211" s="1">
        <v>10</v>
      </c>
      <c r="O211" s="1">
        <v>4</v>
      </c>
      <c r="P211" s="1">
        <v>53.774978411817003</v>
      </c>
      <c r="Q211" s="1">
        <v>1</v>
      </c>
      <c r="R211" s="1">
        <v>10</v>
      </c>
      <c r="S211" s="1">
        <v>4</v>
      </c>
      <c r="T211" t="s">
        <v>191</v>
      </c>
      <c r="U211" s="1">
        <v>2</v>
      </c>
      <c r="V211" s="1">
        <v>59.274978411817003</v>
      </c>
      <c r="W211" s="1">
        <v>592.74978411817006</v>
      </c>
      <c r="X211" s="1">
        <v>6.3042161250740003</v>
      </c>
      <c r="Y211" s="1">
        <v>0</v>
      </c>
      <c r="Z211" s="1">
        <v>59.274978411817003</v>
      </c>
      <c r="AA211" s="1">
        <v>592.74978411817006</v>
      </c>
      <c r="AB211" s="1">
        <v>6.3042161250740003</v>
      </c>
      <c r="AC211" s="1">
        <v>0</v>
      </c>
      <c r="AD211" t="s">
        <v>36</v>
      </c>
    </row>
    <row r="212" spans="1:30" x14ac:dyDescent="0.2">
      <c r="A212" s="1">
        <v>120</v>
      </c>
      <c r="B212" t="s">
        <v>269</v>
      </c>
      <c r="C212">
        <f t="shared" si="3"/>
        <v>2</v>
      </c>
      <c r="D212" t="s">
        <v>79</v>
      </c>
      <c r="E212" s="1">
        <v>8</v>
      </c>
      <c r="F212" s="1">
        <v>120</v>
      </c>
      <c r="G212" s="1">
        <v>4</v>
      </c>
      <c r="H212" s="1">
        <v>848.61552812808804</v>
      </c>
      <c r="I212" t="s">
        <v>274</v>
      </c>
      <c r="J212" s="1">
        <v>892.31128874149294</v>
      </c>
      <c r="K212" t="s">
        <v>275</v>
      </c>
      <c r="L212" s="1">
        <v>53.774978411817003</v>
      </c>
      <c r="M212" s="1">
        <v>1</v>
      </c>
      <c r="N212" s="1">
        <v>10</v>
      </c>
      <c r="O212" s="1">
        <v>4</v>
      </c>
      <c r="P212" s="1">
        <v>57.797848589597997</v>
      </c>
      <c r="Q212" s="1">
        <v>1</v>
      </c>
      <c r="R212" s="1">
        <v>10</v>
      </c>
      <c r="S212" s="1">
        <v>4.4000000000000004</v>
      </c>
      <c r="T212" t="s">
        <v>191</v>
      </c>
      <c r="U212" s="1">
        <v>2</v>
      </c>
      <c r="V212" s="1">
        <v>59.274978411817003</v>
      </c>
      <c r="W212" s="1">
        <v>592.74978411817006</v>
      </c>
      <c r="X212" s="1">
        <v>6.3042161250740003</v>
      </c>
      <c r="Y212" s="1">
        <v>0</v>
      </c>
      <c r="Z212" s="1">
        <v>63.297848589597997</v>
      </c>
      <c r="AA212" s="1">
        <v>632.97848589598004</v>
      </c>
      <c r="AB212" s="1">
        <v>8.6967195974349991</v>
      </c>
      <c r="AC212" s="1">
        <v>0</v>
      </c>
      <c r="AD212" t="s">
        <v>36</v>
      </c>
    </row>
    <row r="213" spans="1:30" x14ac:dyDescent="0.2">
      <c r="A213" s="1">
        <v>121</v>
      </c>
      <c r="B213" t="s">
        <v>276</v>
      </c>
      <c r="C213">
        <f t="shared" si="3"/>
        <v>3</v>
      </c>
      <c r="D213" t="s">
        <v>79</v>
      </c>
      <c r="E213" s="1">
        <v>4</v>
      </c>
      <c r="F213" s="1">
        <v>60</v>
      </c>
      <c r="G213" s="1">
        <v>5</v>
      </c>
      <c r="H213" s="1">
        <v>1228.7099202643601</v>
      </c>
      <c r="I213" t="s">
        <v>277</v>
      </c>
      <c r="J213" s="1">
        <v>1228.7099202643601</v>
      </c>
      <c r="K213" t="s">
        <v>277</v>
      </c>
      <c r="L213" s="1">
        <v>42.666302553724002</v>
      </c>
      <c r="M213" s="1">
        <v>1</v>
      </c>
      <c r="N213" s="1">
        <v>12</v>
      </c>
      <c r="O213" s="1">
        <v>3.583333333333</v>
      </c>
      <c r="P213" s="1">
        <v>42.666302553724002</v>
      </c>
      <c r="Q213" s="1">
        <v>1</v>
      </c>
      <c r="R213" s="1">
        <v>12</v>
      </c>
      <c r="S213" s="1">
        <v>3.583333333333</v>
      </c>
      <c r="T213" t="s">
        <v>191</v>
      </c>
      <c r="U213" s="1">
        <v>3</v>
      </c>
      <c r="V213" s="1">
        <v>48.082969220391</v>
      </c>
      <c r="W213" s="1">
        <v>576.99563064469203</v>
      </c>
      <c r="X213" s="1">
        <v>25.201320642961999</v>
      </c>
      <c r="Y213" s="1">
        <v>0</v>
      </c>
      <c r="Z213" s="1">
        <v>48.082969220391</v>
      </c>
      <c r="AA213" s="1">
        <v>576.99563064469203</v>
      </c>
      <c r="AB213" s="1">
        <v>25.201320642961999</v>
      </c>
      <c r="AC213" s="1">
        <v>0</v>
      </c>
      <c r="AD213" t="s">
        <v>36</v>
      </c>
    </row>
    <row r="214" spans="1:30" x14ac:dyDescent="0.2">
      <c r="A214" s="1">
        <v>122</v>
      </c>
      <c r="B214" t="s">
        <v>276</v>
      </c>
      <c r="C214">
        <f t="shared" si="3"/>
        <v>3</v>
      </c>
      <c r="D214" t="s">
        <v>79</v>
      </c>
      <c r="E214" s="1">
        <v>4</v>
      </c>
      <c r="F214" s="1">
        <v>90</v>
      </c>
      <c r="G214" s="1">
        <v>5</v>
      </c>
      <c r="H214" s="1">
        <v>1203.0512483795301</v>
      </c>
      <c r="I214" t="s">
        <v>278</v>
      </c>
      <c r="J214" s="1">
        <v>1203.0512483795301</v>
      </c>
      <c r="K214" t="s">
        <v>278</v>
      </c>
      <c r="L214" s="1">
        <v>60.511356581854997</v>
      </c>
      <c r="M214" s="1">
        <v>3</v>
      </c>
      <c r="N214" s="1">
        <v>12</v>
      </c>
      <c r="O214" s="1">
        <v>3.25</v>
      </c>
      <c r="P214" s="1">
        <v>60.511356581854997</v>
      </c>
      <c r="Q214" s="1">
        <v>3</v>
      </c>
      <c r="R214" s="1">
        <v>12</v>
      </c>
      <c r="S214" s="1">
        <v>3.25</v>
      </c>
      <c r="T214" t="s">
        <v>191</v>
      </c>
      <c r="U214" s="1">
        <v>3</v>
      </c>
      <c r="V214" s="1">
        <v>66.344689915188994</v>
      </c>
      <c r="W214" s="1">
        <v>796.13627898226798</v>
      </c>
      <c r="X214" s="1">
        <v>18.692723648851999</v>
      </c>
      <c r="Y214" s="1">
        <v>0.69028010353500002</v>
      </c>
      <c r="Z214" s="1">
        <v>66.344689915188994</v>
      </c>
      <c r="AA214" s="1">
        <v>796.13627898226798</v>
      </c>
      <c r="AB214" s="1">
        <v>18.692723648851999</v>
      </c>
      <c r="AC214" s="1">
        <v>0.69028010353500002</v>
      </c>
      <c r="AD214" t="s">
        <v>36</v>
      </c>
    </row>
    <row r="215" spans="1:30" x14ac:dyDescent="0.2">
      <c r="A215" s="1">
        <v>123</v>
      </c>
      <c r="B215" t="s">
        <v>276</v>
      </c>
      <c r="C215">
        <f t="shared" si="3"/>
        <v>3</v>
      </c>
      <c r="D215" t="s">
        <v>79</v>
      </c>
      <c r="E215" s="1">
        <v>4</v>
      </c>
      <c r="F215" s="1">
        <v>120</v>
      </c>
      <c r="G215" s="1">
        <v>2</v>
      </c>
      <c r="H215" s="1">
        <v>1190.61249694973</v>
      </c>
      <c r="I215" t="s">
        <v>279</v>
      </c>
      <c r="J215" s="1">
        <v>1190.61249694973</v>
      </c>
      <c r="K215" t="s">
        <v>279</v>
      </c>
      <c r="L215" s="1">
        <v>60.963874351138003</v>
      </c>
      <c r="M215" s="1">
        <v>3</v>
      </c>
      <c r="N215" s="1">
        <v>12</v>
      </c>
      <c r="O215" s="1">
        <v>3.25</v>
      </c>
      <c r="P215" s="1">
        <v>60.963874351138003</v>
      </c>
      <c r="Q215" s="1">
        <v>3</v>
      </c>
      <c r="R215" s="1">
        <v>12</v>
      </c>
      <c r="S215" s="1">
        <v>3.25</v>
      </c>
      <c r="T215" t="s">
        <v>191</v>
      </c>
      <c r="U215" s="1">
        <v>3</v>
      </c>
      <c r="V215" s="1">
        <v>66.380541017804006</v>
      </c>
      <c r="W215" s="1">
        <v>796.56649221364796</v>
      </c>
      <c r="X215" s="1">
        <v>18.146635566038999</v>
      </c>
      <c r="Y215" s="1">
        <v>1.2023821854750001</v>
      </c>
      <c r="Z215" s="1">
        <v>66.380541017804006</v>
      </c>
      <c r="AA215" s="1">
        <v>796.56649221364796</v>
      </c>
      <c r="AB215" s="1">
        <v>18.146635566038999</v>
      </c>
      <c r="AC215" s="1">
        <v>1.2023821854750001</v>
      </c>
      <c r="AD215" t="s">
        <v>36</v>
      </c>
    </row>
    <row r="216" spans="1:30" x14ac:dyDescent="0.2">
      <c r="A216" s="1">
        <v>124</v>
      </c>
      <c r="B216" t="s">
        <v>276</v>
      </c>
      <c r="C216">
        <f t="shared" si="3"/>
        <v>3</v>
      </c>
      <c r="D216" t="s">
        <v>79</v>
      </c>
      <c r="E216" s="1">
        <v>8</v>
      </c>
      <c r="F216" s="1">
        <v>60</v>
      </c>
      <c r="G216" s="1">
        <v>4</v>
      </c>
      <c r="H216" s="1">
        <v>1202.2982212813399</v>
      </c>
      <c r="I216" t="s">
        <v>280</v>
      </c>
      <c r="J216" s="1">
        <v>1202.2982212813399</v>
      </c>
      <c r="K216" t="s">
        <v>280</v>
      </c>
      <c r="L216" s="1">
        <v>40.228657658286998</v>
      </c>
      <c r="M216" s="1">
        <v>1</v>
      </c>
      <c r="N216" s="1">
        <v>10</v>
      </c>
      <c r="O216" s="1">
        <v>4.5</v>
      </c>
      <c r="P216" s="1">
        <v>40.228657658286998</v>
      </c>
      <c r="Q216" s="1">
        <v>1</v>
      </c>
      <c r="R216" s="1">
        <v>10</v>
      </c>
      <c r="S216" s="1">
        <v>4.5</v>
      </c>
      <c r="T216" t="s">
        <v>191</v>
      </c>
      <c r="U216" s="1">
        <v>3</v>
      </c>
      <c r="V216" s="1">
        <v>45.728657658286998</v>
      </c>
      <c r="W216" s="1">
        <v>457.28657658287</v>
      </c>
      <c r="X216" s="1">
        <v>46.831070407932003</v>
      </c>
      <c r="Y216" s="1">
        <v>0</v>
      </c>
      <c r="Z216" s="1">
        <v>45.728657658286998</v>
      </c>
      <c r="AA216" s="1">
        <v>457.28657658287</v>
      </c>
      <c r="AB216" s="1">
        <v>46.831070407932003</v>
      </c>
      <c r="AC216" s="1">
        <v>0</v>
      </c>
      <c r="AD216" t="s">
        <v>36</v>
      </c>
    </row>
    <row r="217" spans="1:30" x14ac:dyDescent="0.2">
      <c r="A217" s="1">
        <v>125</v>
      </c>
      <c r="B217" t="s">
        <v>276</v>
      </c>
      <c r="C217">
        <f t="shared" si="3"/>
        <v>3</v>
      </c>
      <c r="D217" t="s">
        <v>79</v>
      </c>
      <c r="E217" s="1">
        <v>8</v>
      </c>
      <c r="F217" s="1">
        <v>90</v>
      </c>
      <c r="G217" s="1">
        <v>5</v>
      </c>
      <c r="H217" s="1">
        <v>1190.61249694973</v>
      </c>
      <c r="I217" t="s">
        <v>281</v>
      </c>
      <c r="J217" s="1">
        <v>1271.21757598617</v>
      </c>
      <c r="K217" t="s">
        <v>282</v>
      </c>
      <c r="L217" s="1">
        <v>54.031227126947996</v>
      </c>
      <c r="M217" s="1">
        <v>0</v>
      </c>
      <c r="N217" s="1">
        <v>11</v>
      </c>
      <c r="O217" s="1">
        <v>4</v>
      </c>
      <c r="P217" s="1">
        <v>58.076323878935</v>
      </c>
      <c r="Q217" s="1">
        <v>1</v>
      </c>
      <c r="R217" s="1">
        <v>10</v>
      </c>
      <c r="S217" s="1">
        <v>4.4000000000000004</v>
      </c>
      <c r="T217" t="s">
        <v>191</v>
      </c>
      <c r="U217" s="1">
        <v>3</v>
      </c>
      <c r="V217" s="1">
        <v>59.031227126947996</v>
      </c>
      <c r="W217" s="1">
        <v>649.343498396428</v>
      </c>
      <c r="X217" s="1">
        <v>38.900569305319003</v>
      </c>
      <c r="Y217" s="1">
        <v>0</v>
      </c>
      <c r="Z217" s="1">
        <v>63.576323878935</v>
      </c>
      <c r="AA217" s="1">
        <v>635.76323878935</v>
      </c>
      <c r="AB217" s="1">
        <v>51.776489415051003</v>
      </c>
      <c r="AC217" s="1">
        <v>0</v>
      </c>
      <c r="AD217" t="s">
        <v>36</v>
      </c>
    </row>
    <row r="218" spans="1:30" x14ac:dyDescent="0.2">
      <c r="A218" s="1">
        <v>126</v>
      </c>
      <c r="B218" t="s">
        <v>276</v>
      </c>
      <c r="C218">
        <f t="shared" si="3"/>
        <v>3</v>
      </c>
      <c r="D218" t="s">
        <v>79</v>
      </c>
      <c r="E218" s="1">
        <v>8</v>
      </c>
      <c r="F218" s="1">
        <v>120</v>
      </c>
      <c r="G218" s="1">
        <v>3</v>
      </c>
      <c r="H218" s="1">
        <v>1190.61249694973</v>
      </c>
      <c r="I218" t="s">
        <v>283</v>
      </c>
      <c r="J218" s="1">
        <v>1190.61249694973</v>
      </c>
      <c r="K218" t="s">
        <v>283</v>
      </c>
      <c r="L218" s="1">
        <v>57.016067336239999</v>
      </c>
      <c r="M218" s="1">
        <v>4</v>
      </c>
      <c r="N218" s="1">
        <v>9</v>
      </c>
      <c r="O218" s="1">
        <v>5.1111111111109997</v>
      </c>
      <c r="P218" s="1">
        <v>57.016067336239999</v>
      </c>
      <c r="Q218" s="1">
        <v>4</v>
      </c>
      <c r="R218" s="1">
        <v>9</v>
      </c>
      <c r="S218" s="1">
        <v>5.1111111111109997</v>
      </c>
      <c r="T218" t="s">
        <v>191</v>
      </c>
      <c r="U218" s="1">
        <v>3</v>
      </c>
      <c r="V218" s="1">
        <v>63.682734002906997</v>
      </c>
      <c r="W218" s="1">
        <v>573.14460602616305</v>
      </c>
      <c r="X218" s="1">
        <v>31.908855196542</v>
      </c>
      <c r="Y218" s="1">
        <v>2.7650086802759999</v>
      </c>
      <c r="Z218" s="1">
        <v>63.682734002906997</v>
      </c>
      <c r="AA218" s="1">
        <v>573.14460602616305</v>
      </c>
      <c r="AB218" s="1">
        <v>31.908855196542</v>
      </c>
      <c r="AC218" s="1">
        <v>2.7650086802759999</v>
      </c>
      <c r="AD218" t="s">
        <v>36</v>
      </c>
    </row>
    <row r="219" spans="1:30" x14ac:dyDescent="0.2">
      <c r="B219" t="s">
        <v>284</v>
      </c>
      <c r="C219">
        <f t="shared" si="3"/>
        <v>0.5</v>
      </c>
      <c r="D219" t="s">
        <v>121</v>
      </c>
      <c r="E219" s="1">
        <v>4</v>
      </c>
      <c r="F219" s="1">
        <v>60</v>
      </c>
      <c r="H219" s="1">
        <v>805</v>
      </c>
      <c r="I219" t="s">
        <v>285</v>
      </c>
      <c r="J219" s="1">
        <v>852</v>
      </c>
      <c r="K219" t="s">
        <v>286</v>
      </c>
      <c r="L219" s="1">
        <v>42.426406871193002</v>
      </c>
      <c r="M219" s="1">
        <v>0</v>
      </c>
      <c r="N219" s="1">
        <v>1</v>
      </c>
      <c r="O219" s="1">
        <v>1</v>
      </c>
      <c r="P219" s="1">
        <v>0</v>
      </c>
      <c r="Q219" s="1">
        <v>1</v>
      </c>
      <c r="R219" s="1">
        <v>1</v>
      </c>
      <c r="S219" s="1">
        <v>2</v>
      </c>
      <c r="T219" t="s">
        <v>191</v>
      </c>
      <c r="U219" s="1">
        <v>0.5</v>
      </c>
      <c r="V219" s="1">
        <v>47.426406871193002</v>
      </c>
      <c r="W219" s="1">
        <v>47.426406871193002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t="s">
        <v>54</v>
      </c>
    </row>
    <row r="220" spans="1:30" x14ac:dyDescent="0.2">
      <c r="A220" s="1">
        <v>74</v>
      </c>
      <c r="B220" t="s">
        <v>284</v>
      </c>
      <c r="C220">
        <f t="shared" si="3"/>
        <v>0.5</v>
      </c>
      <c r="D220" t="s">
        <v>121</v>
      </c>
      <c r="E220" s="1">
        <v>4</v>
      </c>
      <c r="F220" s="1">
        <v>90</v>
      </c>
      <c r="G220" s="1">
        <v>1</v>
      </c>
      <c r="H220" s="1">
        <v>787.75883680627999</v>
      </c>
      <c r="I220" t="s">
        <v>287</v>
      </c>
      <c r="L220" s="1">
        <v>33.816919701583998</v>
      </c>
      <c r="M220" s="1">
        <v>0</v>
      </c>
      <c r="N220" s="1">
        <v>6</v>
      </c>
      <c r="O220" s="1">
        <v>3.666666666667</v>
      </c>
      <c r="T220" t="s">
        <v>191</v>
      </c>
      <c r="U220" s="1">
        <v>0.5</v>
      </c>
      <c r="V220" s="1">
        <v>38.816919701583998</v>
      </c>
      <c r="W220" s="1">
        <v>232.90151820950399</v>
      </c>
      <c r="X220" s="1">
        <v>1.489862782296</v>
      </c>
      <c r="Y220" s="1">
        <v>0</v>
      </c>
      <c r="AD220" t="s">
        <v>36</v>
      </c>
    </row>
    <row r="221" spans="1:30" x14ac:dyDescent="0.2">
      <c r="A221" s="1">
        <v>75</v>
      </c>
      <c r="B221" t="s">
        <v>284</v>
      </c>
      <c r="C221">
        <f t="shared" si="3"/>
        <v>0.5</v>
      </c>
      <c r="D221" t="s">
        <v>121</v>
      </c>
      <c r="E221" s="1">
        <v>4</v>
      </c>
      <c r="F221" s="1">
        <v>120</v>
      </c>
      <c r="G221" s="1">
        <v>1</v>
      </c>
      <c r="H221" s="1">
        <v>787.75883680627999</v>
      </c>
      <c r="I221" t="s">
        <v>287</v>
      </c>
      <c r="J221" s="1">
        <v>806.32455532033703</v>
      </c>
      <c r="K221" t="s">
        <v>288</v>
      </c>
      <c r="L221" s="1">
        <v>33.816919701583998</v>
      </c>
      <c r="M221" s="1">
        <v>0</v>
      </c>
      <c r="N221" s="1">
        <v>6</v>
      </c>
      <c r="O221" s="1">
        <v>3.666666666667</v>
      </c>
      <c r="P221" s="1">
        <v>31.235566525042</v>
      </c>
      <c r="Q221" s="1">
        <v>1</v>
      </c>
      <c r="R221" s="1">
        <v>4</v>
      </c>
      <c r="S221" s="1">
        <v>2.25</v>
      </c>
      <c r="T221" t="s">
        <v>191</v>
      </c>
      <c r="U221" s="1">
        <v>0.5</v>
      </c>
      <c r="V221" s="1">
        <v>38.816919701583998</v>
      </c>
      <c r="W221" s="1">
        <v>232.90151820950399</v>
      </c>
      <c r="X221" s="1">
        <v>1.489862782296</v>
      </c>
      <c r="Y221" s="1">
        <v>0</v>
      </c>
      <c r="Z221" s="1">
        <v>36.235566525042003</v>
      </c>
      <c r="AA221" s="1">
        <v>144.94226610016801</v>
      </c>
      <c r="AB221" s="1">
        <v>2.5811388300839999</v>
      </c>
      <c r="AC221" s="1">
        <v>0</v>
      </c>
      <c r="AD221" t="s">
        <v>36</v>
      </c>
    </row>
    <row r="222" spans="1:30" x14ac:dyDescent="0.2">
      <c r="A222" s="1">
        <v>76</v>
      </c>
      <c r="B222" t="s">
        <v>284</v>
      </c>
      <c r="C222">
        <f t="shared" si="3"/>
        <v>0.5</v>
      </c>
      <c r="D222" t="s">
        <v>121</v>
      </c>
      <c r="E222" s="1">
        <v>8</v>
      </c>
      <c r="F222" s="1">
        <v>60</v>
      </c>
      <c r="G222" s="1">
        <v>1</v>
      </c>
      <c r="H222" s="1">
        <v>777.02775637731997</v>
      </c>
      <c r="I222" t="s">
        <v>289</v>
      </c>
      <c r="L222" s="1">
        <v>31.937238459715001</v>
      </c>
      <c r="M222" s="1">
        <v>0</v>
      </c>
      <c r="N222" s="1">
        <v>6</v>
      </c>
      <c r="O222" s="1">
        <v>5.333333333333</v>
      </c>
      <c r="T222" t="s">
        <v>191</v>
      </c>
      <c r="U222" s="1">
        <v>0.5</v>
      </c>
      <c r="V222" s="1">
        <v>36.937238459714997</v>
      </c>
      <c r="W222" s="1">
        <v>221.62343075829</v>
      </c>
      <c r="X222" s="1">
        <v>5.7068266354860002</v>
      </c>
      <c r="Y222" s="1">
        <v>0</v>
      </c>
      <c r="AD222" t="s">
        <v>36</v>
      </c>
    </row>
    <row r="223" spans="1:30" x14ac:dyDescent="0.2">
      <c r="A223" s="1">
        <v>77</v>
      </c>
      <c r="B223" t="s">
        <v>284</v>
      </c>
      <c r="C223">
        <f t="shared" si="3"/>
        <v>0.5</v>
      </c>
      <c r="D223" t="s">
        <v>121</v>
      </c>
      <c r="E223" s="1">
        <v>8</v>
      </c>
      <c r="F223" s="1">
        <v>90</v>
      </c>
      <c r="G223" s="1">
        <v>1</v>
      </c>
      <c r="H223" s="1">
        <v>777</v>
      </c>
      <c r="I223" t="s">
        <v>290</v>
      </c>
      <c r="J223" s="1">
        <v>827.18033988749903</v>
      </c>
      <c r="K223" t="s">
        <v>291</v>
      </c>
      <c r="L223" s="1">
        <v>40.950595579746</v>
      </c>
      <c r="M223" s="1">
        <v>0</v>
      </c>
      <c r="N223" s="1">
        <v>6</v>
      </c>
      <c r="O223" s="1">
        <v>3.666666666667</v>
      </c>
      <c r="P223" s="1">
        <v>41.551278411497002</v>
      </c>
      <c r="Q223" s="1">
        <v>1</v>
      </c>
      <c r="R223" s="1">
        <v>3</v>
      </c>
      <c r="S223" s="1">
        <v>3.666666666667</v>
      </c>
      <c r="T223" t="s">
        <v>191</v>
      </c>
      <c r="U223" s="1">
        <v>0.5</v>
      </c>
      <c r="V223" s="1">
        <v>45.950595579746</v>
      </c>
      <c r="W223" s="1">
        <v>275.70357347847602</v>
      </c>
      <c r="X223" s="1">
        <v>2.9817760112939999</v>
      </c>
      <c r="Y223" s="1">
        <v>0</v>
      </c>
      <c r="Z223" s="1">
        <v>46.551278411497002</v>
      </c>
      <c r="AA223" s="1">
        <v>139.653835234491</v>
      </c>
      <c r="AB223" s="1">
        <v>6.7169675453249997</v>
      </c>
      <c r="AC223" s="1">
        <v>0</v>
      </c>
      <c r="AD223" t="s">
        <v>36</v>
      </c>
    </row>
    <row r="224" spans="1:30" x14ac:dyDescent="0.2">
      <c r="A224" s="1">
        <v>77</v>
      </c>
      <c r="B224" t="s">
        <v>284</v>
      </c>
      <c r="C224">
        <f t="shared" si="3"/>
        <v>0.5</v>
      </c>
      <c r="D224" t="s">
        <v>121</v>
      </c>
      <c r="E224" s="1">
        <v>8</v>
      </c>
      <c r="F224" s="1">
        <v>90</v>
      </c>
      <c r="G224" s="1">
        <v>1</v>
      </c>
      <c r="H224" s="1">
        <v>757.21320343559603</v>
      </c>
      <c r="I224" t="s">
        <v>292</v>
      </c>
      <c r="L224" s="1">
        <v>36.002898385214998</v>
      </c>
      <c r="M224" s="1">
        <v>0</v>
      </c>
      <c r="N224" s="1">
        <v>6</v>
      </c>
      <c r="O224" s="1">
        <v>5</v>
      </c>
      <c r="T224" t="s">
        <v>191</v>
      </c>
      <c r="U224" s="1">
        <v>0.5</v>
      </c>
      <c r="V224" s="1">
        <v>41.002898385214998</v>
      </c>
      <c r="W224" s="1">
        <v>246.01739031129</v>
      </c>
      <c r="X224" s="1">
        <v>1.535533905933</v>
      </c>
      <c r="Y224" s="1">
        <v>0</v>
      </c>
      <c r="AD224" t="s">
        <v>36</v>
      </c>
    </row>
    <row r="225" spans="1:30" x14ac:dyDescent="0.2">
      <c r="A225" s="1">
        <v>78</v>
      </c>
      <c r="B225" t="s">
        <v>284</v>
      </c>
      <c r="C225">
        <f t="shared" si="3"/>
        <v>0.5</v>
      </c>
      <c r="D225" t="s">
        <v>121</v>
      </c>
      <c r="E225" s="1">
        <v>8</v>
      </c>
      <c r="F225" s="1">
        <v>120</v>
      </c>
      <c r="G225" s="1">
        <v>1</v>
      </c>
      <c r="H225" s="1">
        <v>757.21320343559603</v>
      </c>
      <c r="I225" t="s">
        <v>292</v>
      </c>
      <c r="J225" s="1">
        <v>772.18033988749903</v>
      </c>
      <c r="K225" t="s">
        <v>293</v>
      </c>
      <c r="L225" s="1">
        <v>36.002898385214998</v>
      </c>
      <c r="M225" s="1">
        <v>0</v>
      </c>
      <c r="N225" s="1">
        <v>6</v>
      </c>
      <c r="O225" s="1">
        <v>5</v>
      </c>
      <c r="P225" s="1">
        <v>40.798706096205002</v>
      </c>
      <c r="Q225" s="1">
        <v>1</v>
      </c>
      <c r="R225" s="1">
        <v>5</v>
      </c>
      <c r="S225" s="1">
        <v>5.4</v>
      </c>
      <c r="T225" t="s">
        <v>191</v>
      </c>
      <c r="U225" s="1">
        <v>0.5</v>
      </c>
      <c r="V225" s="1">
        <v>41.002898385214998</v>
      </c>
      <c r="W225" s="1">
        <v>246.01739031129</v>
      </c>
      <c r="X225" s="1">
        <v>1.535533905933</v>
      </c>
      <c r="Y225" s="1">
        <v>0</v>
      </c>
      <c r="Z225" s="1">
        <v>45.798706096205002</v>
      </c>
      <c r="AA225" s="1">
        <v>228.993530481025</v>
      </c>
      <c r="AB225" s="1">
        <v>1.830180527195</v>
      </c>
      <c r="AC225" s="1">
        <v>0</v>
      </c>
      <c r="AD225" t="s">
        <v>36</v>
      </c>
    </row>
    <row r="226" spans="1:30" x14ac:dyDescent="0.2">
      <c r="A226" s="1">
        <v>79</v>
      </c>
      <c r="B226" t="s">
        <v>294</v>
      </c>
      <c r="C226">
        <f t="shared" si="3"/>
        <v>1.5</v>
      </c>
      <c r="D226" t="s">
        <v>121</v>
      </c>
      <c r="E226" s="1">
        <v>4</v>
      </c>
      <c r="F226" s="1">
        <v>60</v>
      </c>
      <c r="G226" s="1">
        <v>1</v>
      </c>
      <c r="H226" s="1">
        <v>1176</v>
      </c>
      <c r="I226" t="s">
        <v>295</v>
      </c>
      <c r="L226" s="1">
        <v>43.449334186653999</v>
      </c>
      <c r="M226" s="1">
        <v>0</v>
      </c>
      <c r="N226" s="1">
        <v>9</v>
      </c>
      <c r="O226" s="1">
        <v>3.1111111111110001</v>
      </c>
      <c r="T226" t="s">
        <v>191</v>
      </c>
      <c r="U226" s="1">
        <v>1.5</v>
      </c>
      <c r="V226" s="1">
        <v>48.449334186653999</v>
      </c>
      <c r="W226" s="1">
        <v>436.04400767988602</v>
      </c>
      <c r="X226" s="1">
        <v>3</v>
      </c>
      <c r="Y226" s="1">
        <v>0</v>
      </c>
      <c r="AD226" t="s">
        <v>36</v>
      </c>
    </row>
    <row r="227" spans="1:30" x14ac:dyDescent="0.2">
      <c r="B227" t="s">
        <v>294</v>
      </c>
      <c r="C227">
        <f t="shared" si="3"/>
        <v>1.5</v>
      </c>
      <c r="D227" t="s">
        <v>121</v>
      </c>
      <c r="E227" s="1">
        <v>4</v>
      </c>
      <c r="F227" s="1">
        <v>90</v>
      </c>
      <c r="H227" s="1">
        <v>1176</v>
      </c>
      <c r="I227" t="s">
        <v>295</v>
      </c>
      <c r="J227" s="1">
        <v>1287</v>
      </c>
      <c r="K227" t="s">
        <v>296</v>
      </c>
      <c r="L227" s="1">
        <v>43.449334186653999</v>
      </c>
      <c r="M227" s="1">
        <v>0</v>
      </c>
      <c r="N227" s="1">
        <v>9</v>
      </c>
      <c r="O227" s="1">
        <v>3.1111111111110001</v>
      </c>
      <c r="P227" s="1">
        <v>66.002995411751002</v>
      </c>
      <c r="Q227" s="1">
        <v>1</v>
      </c>
      <c r="R227" s="1">
        <v>4</v>
      </c>
      <c r="S227" s="1">
        <v>2.5</v>
      </c>
      <c r="T227" t="s">
        <v>191</v>
      </c>
      <c r="U227" s="1">
        <v>1.5</v>
      </c>
      <c r="V227" s="1">
        <v>48.449334186653999</v>
      </c>
      <c r="W227" s="1">
        <v>436.04400767988602</v>
      </c>
      <c r="X227" s="1">
        <v>3</v>
      </c>
      <c r="Y227" s="1">
        <v>0</v>
      </c>
      <c r="Z227" s="1">
        <v>71.002995411751002</v>
      </c>
      <c r="AA227" s="1">
        <v>284.01198164700401</v>
      </c>
      <c r="AB227" s="1">
        <v>0</v>
      </c>
      <c r="AC227" s="1">
        <v>0</v>
      </c>
      <c r="AD227" t="s">
        <v>54</v>
      </c>
    </row>
    <row r="228" spans="1:30" x14ac:dyDescent="0.2">
      <c r="B228" t="s">
        <v>294</v>
      </c>
      <c r="C228">
        <f t="shared" si="3"/>
        <v>1.5</v>
      </c>
      <c r="D228" t="s">
        <v>121</v>
      </c>
      <c r="E228" s="1">
        <v>4</v>
      </c>
      <c r="F228" s="1">
        <v>120</v>
      </c>
      <c r="H228" s="1">
        <v>1176</v>
      </c>
      <c r="I228" t="s">
        <v>295</v>
      </c>
      <c r="J228" s="1">
        <v>1216</v>
      </c>
      <c r="K228" t="s">
        <v>297</v>
      </c>
      <c r="L228" s="1">
        <v>43.449334186653999</v>
      </c>
      <c r="M228" s="1">
        <v>0</v>
      </c>
      <c r="N228" s="1">
        <v>9</v>
      </c>
      <c r="O228" s="1">
        <v>3.1111111111110001</v>
      </c>
      <c r="P228" s="1">
        <v>54.072033661372998</v>
      </c>
      <c r="Q228" s="1">
        <v>1</v>
      </c>
      <c r="R228" s="1">
        <v>8</v>
      </c>
      <c r="S228" s="1">
        <v>2.875</v>
      </c>
      <c r="T228" t="s">
        <v>191</v>
      </c>
      <c r="U228" s="1">
        <v>1.5</v>
      </c>
      <c r="V228" s="1">
        <v>48.449334186653999</v>
      </c>
      <c r="W228" s="1">
        <v>436.04400767988602</v>
      </c>
      <c r="X228" s="1">
        <v>3</v>
      </c>
      <c r="Y228" s="1">
        <v>0</v>
      </c>
      <c r="Z228" s="1">
        <v>59.072033661372998</v>
      </c>
      <c r="AA228" s="1">
        <v>472.57626929098399</v>
      </c>
      <c r="AB228" s="1">
        <v>1.875</v>
      </c>
      <c r="AC228" s="1">
        <v>0</v>
      </c>
      <c r="AD228" t="s">
        <v>54</v>
      </c>
    </row>
    <row r="229" spans="1:30" x14ac:dyDescent="0.2">
      <c r="B229" t="s">
        <v>294</v>
      </c>
      <c r="C229">
        <f t="shared" si="3"/>
        <v>1.5</v>
      </c>
      <c r="D229" t="s">
        <v>121</v>
      </c>
      <c r="E229" s="1">
        <v>8</v>
      </c>
      <c r="F229" s="1">
        <v>60</v>
      </c>
      <c r="H229" s="1">
        <v>1117.1803398874899</v>
      </c>
      <c r="I229" t="s">
        <v>298</v>
      </c>
      <c r="J229" s="1">
        <v>1338</v>
      </c>
      <c r="K229" t="s">
        <v>299</v>
      </c>
      <c r="L229" s="1">
        <v>40.219999078792</v>
      </c>
      <c r="M229" s="1">
        <v>0</v>
      </c>
      <c r="N229" s="1">
        <v>9</v>
      </c>
      <c r="O229" s="1">
        <v>4.1111111111109997</v>
      </c>
      <c r="P229" s="1">
        <v>10</v>
      </c>
      <c r="Q229" s="1">
        <v>1</v>
      </c>
      <c r="R229" s="1">
        <v>1</v>
      </c>
      <c r="S229" s="1">
        <v>6</v>
      </c>
      <c r="T229" t="s">
        <v>191</v>
      </c>
      <c r="U229" s="1">
        <v>1.5</v>
      </c>
      <c r="V229" s="1">
        <v>45.219999078792</v>
      </c>
      <c r="W229" s="1">
        <v>406.979991709128</v>
      </c>
      <c r="X229" s="1">
        <v>1.9326159247879999</v>
      </c>
      <c r="Y229" s="1">
        <v>0</v>
      </c>
      <c r="Z229" s="1">
        <v>15</v>
      </c>
      <c r="AA229" s="1">
        <v>15</v>
      </c>
      <c r="AB229" s="1">
        <v>0</v>
      </c>
      <c r="AC229" s="1">
        <v>0</v>
      </c>
      <c r="AD229" t="s">
        <v>54</v>
      </c>
    </row>
    <row r="230" spans="1:30" x14ac:dyDescent="0.2">
      <c r="B230" t="s">
        <v>294</v>
      </c>
      <c r="C230">
        <f t="shared" si="3"/>
        <v>1.5</v>
      </c>
      <c r="D230" t="s">
        <v>121</v>
      </c>
      <c r="E230" s="1">
        <v>8</v>
      </c>
      <c r="F230" s="1">
        <v>120</v>
      </c>
      <c r="H230" s="1">
        <v>1117.1803398874899</v>
      </c>
      <c r="I230" t="s">
        <v>298</v>
      </c>
      <c r="J230" s="1">
        <v>1216</v>
      </c>
      <c r="K230" t="s">
        <v>300</v>
      </c>
      <c r="L230" s="1">
        <v>40.219999078792</v>
      </c>
      <c r="M230" s="1">
        <v>0</v>
      </c>
      <c r="N230" s="1">
        <v>9</v>
      </c>
      <c r="O230" s="1">
        <v>4.1111111111109997</v>
      </c>
      <c r="P230" s="1">
        <v>59.331962569974998</v>
      </c>
      <c r="Q230" s="1">
        <v>3</v>
      </c>
      <c r="R230" s="1">
        <v>8</v>
      </c>
      <c r="S230" s="1">
        <v>3.5</v>
      </c>
      <c r="T230" t="s">
        <v>191</v>
      </c>
      <c r="U230" s="1">
        <v>1.5</v>
      </c>
      <c r="V230" s="1">
        <v>45.219999078792</v>
      </c>
      <c r="W230" s="1">
        <v>406.979991709128</v>
      </c>
      <c r="X230" s="1">
        <v>1.9326159247879999</v>
      </c>
      <c r="Y230" s="1">
        <v>0</v>
      </c>
      <c r="Z230" s="1">
        <v>65.581962569975005</v>
      </c>
      <c r="AA230" s="1">
        <v>524.65570055980004</v>
      </c>
      <c r="AB230" s="1">
        <v>12.101470270339</v>
      </c>
      <c r="AC230" s="1">
        <v>0</v>
      </c>
      <c r="AD230" t="s">
        <v>54</v>
      </c>
    </row>
    <row r="231" spans="1:30" x14ac:dyDescent="0.2">
      <c r="A231" s="1">
        <v>85</v>
      </c>
      <c r="B231" t="s">
        <v>301</v>
      </c>
      <c r="C231">
        <f t="shared" si="3"/>
        <v>1</v>
      </c>
      <c r="D231" t="s">
        <v>121</v>
      </c>
      <c r="E231" s="1">
        <v>4</v>
      </c>
      <c r="F231" s="1">
        <v>60</v>
      </c>
      <c r="G231" s="1">
        <v>1</v>
      </c>
      <c r="H231" s="1">
        <v>938.86173937932404</v>
      </c>
      <c r="I231" t="s">
        <v>302</v>
      </c>
      <c r="L231" s="1">
        <v>42.406880840063003</v>
      </c>
      <c r="M231" s="1">
        <v>0</v>
      </c>
      <c r="N231" s="1">
        <v>10</v>
      </c>
      <c r="O231" s="1">
        <v>3</v>
      </c>
      <c r="T231" t="s">
        <v>191</v>
      </c>
      <c r="U231" s="1">
        <v>1</v>
      </c>
      <c r="V231" s="1">
        <v>47.406880840063003</v>
      </c>
      <c r="W231" s="1">
        <v>426.66192756056699</v>
      </c>
      <c r="X231" s="1">
        <v>8.2731868082159998</v>
      </c>
      <c r="Y231" s="1">
        <v>0</v>
      </c>
      <c r="AD231" t="s">
        <v>36</v>
      </c>
    </row>
    <row r="232" spans="1:30" x14ac:dyDescent="0.2">
      <c r="A232" s="1">
        <v>86</v>
      </c>
      <c r="B232" t="s">
        <v>301</v>
      </c>
      <c r="C232">
        <f t="shared" si="3"/>
        <v>1</v>
      </c>
      <c r="D232" t="s">
        <v>121</v>
      </c>
      <c r="E232" s="1">
        <v>4</v>
      </c>
      <c r="F232" s="1">
        <v>90</v>
      </c>
      <c r="G232" s="1">
        <v>1</v>
      </c>
      <c r="H232" s="1">
        <v>912.17601498126999</v>
      </c>
      <c r="I232" t="s">
        <v>303</v>
      </c>
      <c r="J232" s="1">
        <v>983.46829570193597</v>
      </c>
      <c r="K232" t="s">
        <v>304</v>
      </c>
      <c r="L232" s="1">
        <v>42.656290025121997</v>
      </c>
      <c r="M232" s="1">
        <v>0</v>
      </c>
      <c r="N232" s="1">
        <v>8</v>
      </c>
      <c r="O232" s="1">
        <v>3.375</v>
      </c>
      <c r="P232" s="1">
        <v>47.063526227484999</v>
      </c>
      <c r="Q232" s="1">
        <v>1</v>
      </c>
      <c r="R232" s="1">
        <v>8</v>
      </c>
      <c r="S232" s="1">
        <v>3.5</v>
      </c>
      <c r="T232" t="s">
        <v>191</v>
      </c>
      <c r="U232" s="1">
        <v>1</v>
      </c>
      <c r="V232" s="1">
        <v>47.656290025121997</v>
      </c>
      <c r="W232" s="1">
        <v>381.25032020097598</v>
      </c>
      <c r="X232" s="1">
        <v>2.2001872658999999E-2</v>
      </c>
      <c r="Y232" s="1">
        <v>0</v>
      </c>
      <c r="Z232" s="1">
        <v>52.063526227484999</v>
      </c>
      <c r="AA232" s="1">
        <v>416.50820981987999</v>
      </c>
      <c r="AB232" s="1">
        <v>3.808536962742</v>
      </c>
      <c r="AC232" s="1">
        <v>0</v>
      </c>
      <c r="AD232" t="s">
        <v>36</v>
      </c>
    </row>
    <row r="233" spans="1:30" x14ac:dyDescent="0.2">
      <c r="A233" s="1">
        <v>86</v>
      </c>
      <c r="B233" t="s">
        <v>301</v>
      </c>
      <c r="C233">
        <f t="shared" si="3"/>
        <v>1</v>
      </c>
      <c r="D233" t="s">
        <v>121</v>
      </c>
      <c r="E233" s="1">
        <v>4</v>
      </c>
      <c r="F233" s="1">
        <v>120</v>
      </c>
      <c r="G233" s="1">
        <v>1</v>
      </c>
      <c r="H233" s="1">
        <v>912.17601498126999</v>
      </c>
      <c r="I233" t="s">
        <v>303</v>
      </c>
      <c r="J233" s="1">
        <v>983.46829570193597</v>
      </c>
      <c r="K233" t="s">
        <v>304</v>
      </c>
      <c r="L233" s="1">
        <v>42.656290025121997</v>
      </c>
      <c r="M233" s="1">
        <v>0</v>
      </c>
      <c r="N233" s="1">
        <v>8</v>
      </c>
      <c r="O233" s="1">
        <v>3.375</v>
      </c>
      <c r="P233" s="1">
        <v>47.063526227484999</v>
      </c>
      <c r="Q233" s="1">
        <v>1</v>
      </c>
      <c r="R233" s="1">
        <v>8</v>
      </c>
      <c r="S233" s="1">
        <v>3.5</v>
      </c>
      <c r="T233" t="s">
        <v>191</v>
      </c>
      <c r="U233" s="1">
        <v>1</v>
      </c>
      <c r="V233" s="1">
        <v>47.656290025121997</v>
      </c>
      <c r="W233" s="1">
        <v>381.25032020097598</v>
      </c>
      <c r="X233" s="1">
        <v>2.2001872658999999E-2</v>
      </c>
      <c r="Y233" s="1">
        <v>0</v>
      </c>
      <c r="Z233" s="1">
        <v>52.063526227484999</v>
      </c>
      <c r="AA233" s="1">
        <v>416.50820981987999</v>
      </c>
      <c r="AB233" s="1">
        <v>3.808536962742</v>
      </c>
      <c r="AC233" s="1">
        <v>0</v>
      </c>
      <c r="AD233" t="s">
        <v>36</v>
      </c>
    </row>
    <row r="234" spans="1:30" x14ac:dyDescent="0.2">
      <c r="A234" s="1">
        <v>88</v>
      </c>
      <c r="B234" t="s">
        <v>301</v>
      </c>
      <c r="C234">
        <f t="shared" si="3"/>
        <v>1</v>
      </c>
      <c r="D234" t="s">
        <v>121</v>
      </c>
      <c r="E234" s="1">
        <v>8</v>
      </c>
      <c r="F234" s="1">
        <v>60</v>
      </c>
      <c r="G234" s="1">
        <v>1</v>
      </c>
      <c r="H234" s="1">
        <v>903.57388321059398</v>
      </c>
      <c r="I234" t="s">
        <v>305</v>
      </c>
      <c r="J234" s="1">
        <v>1094</v>
      </c>
      <c r="K234" t="s">
        <v>306</v>
      </c>
      <c r="L234" s="1">
        <v>40.976906719294</v>
      </c>
      <c r="M234" s="1">
        <v>0</v>
      </c>
      <c r="N234" s="1">
        <v>6</v>
      </c>
      <c r="O234" s="1">
        <v>4.5</v>
      </c>
      <c r="P234" s="1">
        <v>42.426406871193002</v>
      </c>
      <c r="Q234" s="1">
        <v>1</v>
      </c>
      <c r="R234" s="1">
        <v>1</v>
      </c>
      <c r="S234" s="1">
        <v>6</v>
      </c>
      <c r="T234" t="s">
        <v>191</v>
      </c>
      <c r="U234" s="1">
        <v>1</v>
      </c>
      <c r="V234" s="1">
        <v>45.976906719294</v>
      </c>
      <c r="W234" s="1">
        <v>275.86144031576401</v>
      </c>
      <c r="X234" s="1">
        <v>3.4289805350989999</v>
      </c>
      <c r="Y234" s="1">
        <v>0</v>
      </c>
      <c r="Z234" s="1">
        <v>47.426406871193002</v>
      </c>
      <c r="AA234" s="1">
        <v>47.426406871193002</v>
      </c>
      <c r="AB234" s="1">
        <v>0</v>
      </c>
      <c r="AC234" s="1">
        <v>0</v>
      </c>
      <c r="AD234" t="s">
        <v>36</v>
      </c>
    </row>
    <row r="235" spans="1:30" x14ac:dyDescent="0.2">
      <c r="A235" s="1">
        <v>89</v>
      </c>
      <c r="B235" t="s">
        <v>301</v>
      </c>
      <c r="C235">
        <f t="shared" si="3"/>
        <v>1</v>
      </c>
      <c r="D235" t="s">
        <v>121</v>
      </c>
      <c r="E235" s="1">
        <v>8</v>
      </c>
      <c r="F235" s="1">
        <v>90</v>
      </c>
      <c r="G235" s="1">
        <v>1</v>
      </c>
      <c r="H235" s="1">
        <v>883.49509756796397</v>
      </c>
      <c r="I235" t="s">
        <v>307</v>
      </c>
      <c r="J235" s="1">
        <v>941</v>
      </c>
      <c r="K235" t="s">
        <v>308</v>
      </c>
      <c r="L235" s="1">
        <v>46.404397420457002</v>
      </c>
      <c r="M235" s="1">
        <v>0</v>
      </c>
      <c r="N235" s="1">
        <v>11</v>
      </c>
      <c r="O235" s="1">
        <v>4.1818181818179996</v>
      </c>
      <c r="P235" s="1">
        <v>48.991569889505001</v>
      </c>
      <c r="Q235" s="1">
        <v>2</v>
      </c>
      <c r="R235" s="1">
        <v>7</v>
      </c>
      <c r="S235" s="1">
        <v>4</v>
      </c>
      <c r="T235" t="s">
        <v>191</v>
      </c>
      <c r="U235" s="1">
        <v>1</v>
      </c>
      <c r="V235" s="1">
        <v>51.404397420457002</v>
      </c>
      <c r="W235" s="1">
        <v>565.44837162502699</v>
      </c>
      <c r="X235" s="1">
        <v>7.135917960724</v>
      </c>
      <c r="Y235" s="1">
        <v>0</v>
      </c>
      <c r="Z235" s="1">
        <v>53.991569889505001</v>
      </c>
      <c r="AA235" s="1">
        <v>323.94941933703001</v>
      </c>
      <c r="AB235" s="1">
        <v>13.303325032381</v>
      </c>
      <c r="AC235" s="1">
        <v>0</v>
      </c>
      <c r="AD235" t="s">
        <v>36</v>
      </c>
    </row>
    <row r="236" spans="1:30" x14ac:dyDescent="0.2">
      <c r="A236" s="1">
        <v>90</v>
      </c>
      <c r="B236" t="s">
        <v>301</v>
      </c>
      <c r="C236">
        <f t="shared" si="3"/>
        <v>1</v>
      </c>
      <c r="D236" t="s">
        <v>121</v>
      </c>
      <c r="E236" s="1">
        <v>8</v>
      </c>
      <c r="F236" s="1">
        <v>120</v>
      </c>
      <c r="G236" s="1">
        <v>1</v>
      </c>
      <c r="H236" s="1">
        <v>883.49509756796397</v>
      </c>
      <c r="I236" t="s">
        <v>307</v>
      </c>
      <c r="J236" s="1">
        <v>923</v>
      </c>
      <c r="K236" t="s">
        <v>309</v>
      </c>
      <c r="L236" s="1">
        <v>46.404397420457002</v>
      </c>
      <c r="M236" s="1">
        <v>0</v>
      </c>
      <c r="N236" s="1">
        <v>11</v>
      </c>
      <c r="O236" s="1">
        <v>4.1818181818179996</v>
      </c>
      <c r="P236" s="1">
        <v>42.376841353418001</v>
      </c>
      <c r="Q236" s="1">
        <v>1</v>
      </c>
      <c r="R236" s="1">
        <v>6</v>
      </c>
      <c r="S236" s="1">
        <v>4.666666666667</v>
      </c>
      <c r="T236" t="s">
        <v>191</v>
      </c>
      <c r="U236" s="1">
        <v>1</v>
      </c>
      <c r="V236" s="1">
        <v>51.404397420457002</v>
      </c>
      <c r="W236" s="1">
        <v>565.44837162502699</v>
      </c>
      <c r="X236" s="1">
        <v>7.135917960724</v>
      </c>
      <c r="Y236" s="1">
        <v>0</v>
      </c>
      <c r="Z236" s="1">
        <v>47.376841353418001</v>
      </c>
      <c r="AA236" s="1">
        <v>284.26104812050801</v>
      </c>
      <c r="AB236" s="1">
        <v>12.030056647916</v>
      </c>
      <c r="AC236" s="1">
        <v>0</v>
      </c>
      <c r="AD236" t="s">
        <v>36</v>
      </c>
    </row>
    <row r="237" spans="1:30" x14ac:dyDescent="0.2">
      <c r="A237" s="1">
        <v>91</v>
      </c>
      <c r="B237" t="s">
        <v>310</v>
      </c>
      <c r="C237">
        <f t="shared" si="3"/>
        <v>2.5</v>
      </c>
      <c r="D237" t="s">
        <v>121</v>
      </c>
      <c r="E237" s="1">
        <v>4</v>
      </c>
      <c r="F237" s="1">
        <v>60</v>
      </c>
      <c r="G237" s="1">
        <v>1</v>
      </c>
      <c r="H237" s="1">
        <v>1547</v>
      </c>
      <c r="I237" t="s">
        <v>311</v>
      </c>
      <c r="L237" s="1">
        <v>37.446426068610997</v>
      </c>
      <c r="M237" s="1">
        <v>0</v>
      </c>
      <c r="N237" s="1">
        <v>10</v>
      </c>
      <c r="O237" s="1">
        <v>2.8</v>
      </c>
      <c r="T237" t="s">
        <v>191</v>
      </c>
      <c r="U237" s="1">
        <v>2.5</v>
      </c>
      <c r="V237" s="1">
        <v>42.446426068610997</v>
      </c>
      <c r="W237" s="1">
        <v>424.46426068610998</v>
      </c>
      <c r="X237" s="1">
        <v>17.749509756796002</v>
      </c>
      <c r="Y237" s="1">
        <v>0</v>
      </c>
      <c r="AD237" t="s">
        <v>36</v>
      </c>
    </row>
    <row r="238" spans="1:30" x14ac:dyDescent="0.2">
      <c r="B238" t="s">
        <v>310</v>
      </c>
      <c r="C238">
        <f t="shared" si="3"/>
        <v>2.5</v>
      </c>
      <c r="D238" t="s">
        <v>121</v>
      </c>
      <c r="E238" s="1">
        <v>4</v>
      </c>
      <c r="F238" s="1">
        <v>90</v>
      </c>
      <c r="H238" s="1">
        <v>1464.1803398874899</v>
      </c>
      <c r="I238" t="s">
        <v>312</v>
      </c>
      <c r="J238" s="1">
        <v>1532.00722984766</v>
      </c>
      <c r="K238" t="s">
        <v>313</v>
      </c>
      <c r="L238" s="1">
        <v>39.975857142197</v>
      </c>
      <c r="M238" s="1">
        <v>0</v>
      </c>
      <c r="N238" s="1">
        <v>13</v>
      </c>
      <c r="O238" s="1">
        <v>2.5384615384620002</v>
      </c>
      <c r="P238" s="1">
        <v>56.285665317849997</v>
      </c>
      <c r="Q238" s="1">
        <v>1</v>
      </c>
      <c r="R238" s="1">
        <v>9</v>
      </c>
      <c r="S238" s="1">
        <v>3.4444444444440001</v>
      </c>
      <c r="T238" t="s">
        <v>191</v>
      </c>
      <c r="U238" s="1">
        <v>2.5</v>
      </c>
      <c r="V238" s="1">
        <v>44.975857142197</v>
      </c>
      <c r="W238" s="1">
        <v>584.68614284856096</v>
      </c>
      <c r="X238" s="1">
        <v>12.245843159589</v>
      </c>
      <c r="Y238" s="1">
        <v>0</v>
      </c>
      <c r="Z238" s="1">
        <v>61.285665317849997</v>
      </c>
      <c r="AA238" s="1">
        <v>551.57098786065001</v>
      </c>
      <c r="AB238" s="1">
        <v>18.158980645419</v>
      </c>
      <c r="AC238" s="1">
        <v>0</v>
      </c>
      <c r="AD238" t="s">
        <v>54</v>
      </c>
    </row>
    <row r="239" spans="1:30" x14ac:dyDescent="0.2">
      <c r="B239" t="s">
        <v>310</v>
      </c>
      <c r="C239">
        <f t="shared" si="3"/>
        <v>2.5</v>
      </c>
      <c r="D239" t="s">
        <v>121</v>
      </c>
      <c r="E239" s="1">
        <v>4</v>
      </c>
      <c r="F239" s="1">
        <v>120</v>
      </c>
      <c r="H239" s="1">
        <v>1464.1803398874899</v>
      </c>
      <c r="I239" t="s">
        <v>312</v>
      </c>
      <c r="J239" s="1">
        <v>1532.00722984766</v>
      </c>
      <c r="K239" t="s">
        <v>313</v>
      </c>
      <c r="L239" s="1">
        <v>39.975857142197</v>
      </c>
      <c r="M239" s="1">
        <v>0</v>
      </c>
      <c r="N239" s="1">
        <v>13</v>
      </c>
      <c r="O239" s="1">
        <v>2.5384615384620002</v>
      </c>
      <c r="P239" s="1">
        <v>56.285665317849997</v>
      </c>
      <c r="Q239" s="1">
        <v>1</v>
      </c>
      <c r="R239" s="1">
        <v>9</v>
      </c>
      <c r="S239" s="1">
        <v>3.4444444444440001</v>
      </c>
      <c r="T239" t="s">
        <v>191</v>
      </c>
      <c r="U239" s="1">
        <v>2.5</v>
      </c>
      <c r="V239" s="1">
        <v>44.975857142197</v>
      </c>
      <c r="W239" s="1">
        <v>584.68614284856096</v>
      </c>
      <c r="X239" s="1">
        <v>12.245843159589</v>
      </c>
      <c r="Y239" s="1">
        <v>0</v>
      </c>
      <c r="Z239" s="1">
        <v>61.285665317849997</v>
      </c>
      <c r="AA239" s="1">
        <v>551.57098786065001</v>
      </c>
      <c r="AB239" s="1">
        <v>18.158980645419</v>
      </c>
      <c r="AC239" s="1">
        <v>0</v>
      </c>
      <c r="AD239" t="s">
        <v>54</v>
      </c>
    </row>
    <row r="240" spans="1:30" x14ac:dyDescent="0.2">
      <c r="B240" t="s">
        <v>310</v>
      </c>
      <c r="C240">
        <f t="shared" si="3"/>
        <v>2.5</v>
      </c>
      <c r="D240" t="s">
        <v>121</v>
      </c>
      <c r="E240" s="1">
        <v>8</v>
      </c>
      <c r="F240" s="1">
        <v>60</v>
      </c>
      <c r="H240" s="1">
        <v>1418.4950975679601</v>
      </c>
      <c r="I240" t="s">
        <v>314</v>
      </c>
      <c r="J240" s="1">
        <v>1717.02775637732</v>
      </c>
      <c r="K240" t="s">
        <v>315</v>
      </c>
      <c r="L240" s="1">
        <v>37.128917661206003</v>
      </c>
      <c r="M240" s="1">
        <v>0</v>
      </c>
      <c r="N240" s="1">
        <v>9</v>
      </c>
      <c r="O240" s="1">
        <v>4.1111111111109997</v>
      </c>
      <c r="P240" s="1">
        <v>42.786593183599997</v>
      </c>
      <c r="Q240" s="1">
        <v>1</v>
      </c>
      <c r="R240" s="1">
        <v>2</v>
      </c>
      <c r="S240" s="1">
        <v>4.5</v>
      </c>
      <c r="T240" t="s">
        <v>191</v>
      </c>
      <c r="U240" s="1">
        <v>2.5</v>
      </c>
      <c r="V240" s="1">
        <v>42.128917661206003</v>
      </c>
      <c r="W240" s="1">
        <v>379.16025895085397</v>
      </c>
      <c r="X240" s="1">
        <v>20.221132792881001</v>
      </c>
      <c r="Y240" s="1">
        <v>0</v>
      </c>
      <c r="Z240" s="1">
        <v>47.786593183599997</v>
      </c>
      <c r="AA240" s="1">
        <v>95.573186367199995</v>
      </c>
      <c r="AB240" s="1">
        <v>2.5138781886600001</v>
      </c>
      <c r="AC240" s="1">
        <v>0</v>
      </c>
      <c r="AD240" t="s">
        <v>54</v>
      </c>
    </row>
    <row r="241" spans="1:30" x14ac:dyDescent="0.2">
      <c r="B241" t="s">
        <v>310</v>
      </c>
      <c r="C241">
        <f t="shared" si="3"/>
        <v>2.5</v>
      </c>
      <c r="D241" t="s">
        <v>121</v>
      </c>
      <c r="E241" s="1">
        <v>8</v>
      </c>
      <c r="F241" s="1">
        <v>90</v>
      </c>
      <c r="H241" s="1">
        <v>1418.4950975679601</v>
      </c>
      <c r="I241" t="s">
        <v>314</v>
      </c>
      <c r="J241" s="1">
        <v>1532.00722984766</v>
      </c>
      <c r="K241" t="s">
        <v>313</v>
      </c>
      <c r="L241" s="1">
        <v>37.128917661206003</v>
      </c>
      <c r="M241" s="1">
        <v>0</v>
      </c>
      <c r="N241" s="1">
        <v>9</v>
      </c>
      <c r="O241" s="1">
        <v>4.1111111111109997</v>
      </c>
      <c r="P241" s="1">
        <v>56.285665317849997</v>
      </c>
      <c r="Q241" s="1">
        <v>1</v>
      </c>
      <c r="R241" s="1">
        <v>9</v>
      </c>
      <c r="S241" s="1">
        <v>3.4444444444440001</v>
      </c>
      <c r="T241" t="s">
        <v>191</v>
      </c>
      <c r="U241" s="1">
        <v>2.5</v>
      </c>
      <c r="V241" s="1">
        <v>42.128917661206003</v>
      </c>
      <c r="W241" s="1">
        <v>379.16025895085397</v>
      </c>
      <c r="X241" s="1">
        <v>20.221132792881001</v>
      </c>
      <c r="Y241" s="1">
        <v>0</v>
      </c>
      <c r="Z241" s="1">
        <v>61.285665317849997</v>
      </c>
      <c r="AA241" s="1">
        <v>551.57098786065001</v>
      </c>
      <c r="AB241" s="1">
        <v>18.158980645419</v>
      </c>
      <c r="AC241" s="1">
        <v>0</v>
      </c>
      <c r="AD241" t="s">
        <v>54</v>
      </c>
    </row>
    <row r="242" spans="1:30" x14ac:dyDescent="0.2">
      <c r="B242" t="s">
        <v>310</v>
      </c>
      <c r="C242">
        <f t="shared" si="3"/>
        <v>2.5</v>
      </c>
      <c r="D242" t="s">
        <v>121</v>
      </c>
      <c r="E242" s="1">
        <v>8</v>
      </c>
      <c r="F242" s="1">
        <v>120</v>
      </c>
      <c r="H242" s="1">
        <v>1418.4950975679601</v>
      </c>
      <c r="I242" t="s">
        <v>314</v>
      </c>
      <c r="J242" s="1">
        <v>1532.00722984766</v>
      </c>
      <c r="K242" t="s">
        <v>316</v>
      </c>
      <c r="L242" s="1">
        <v>37.128917661206003</v>
      </c>
      <c r="M242" s="1">
        <v>0</v>
      </c>
      <c r="N242" s="1">
        <v>9</v>
      </c>
      <c r="O242" s="1">
        <v>4.1111111111109997</v>
      </c>
      <c r="P242" s="1">
        <v>67.012014864636996</v>
      </c>
      <c r="Q242" s="1">
        <v>3</v>
      </c>
      <c r="R242" s="1">
        <v>9</v>
      </c>
      <c r="S242" s="1">
        <v>3.8888888888889999</v>
      </c>
      <c r="T242" t="s">
        <v>191</v>
      </c>
      <c r="U242" s="1">
        <v>2.5</v>
      </c>
      <c r="V242" s="1">
        <v>42.128917661206003</v>
      </c>
      <c r="W242" s="1">
        <v>379.16025895085397</v>
      </c>
      <c r="X242" s="1">
        <v>20.221132792881001</v>
      </c>
      <c r="Y242" s="1">
        <v>0</v>
      </c>
      <c r="Z242" s="1">
        <v>73.123125975747996</v>
      </c>
      <c r="AA242" s="1">
        <v>658.10813378173202</v>
      </c>
      <c r="AB242" s="1">
        <v>26.133770822203001</v>
      </c>
      <c r="AC242" s="1">
        <v>0.32112214153800001</v>
      </c>
      <c r="AD242" t="s">
        <v>54</v>
      </c>
    </row>
    <row r="243" spans="1:30" x14ac:dyDescent="0.2">
      <c r="B243" t="s">
        <v>317</v>
      </c>
      <c r="C243">
        <f t="shared" si="3"/>
        <v>2</v>
      </c>
      <c r="D243" t="s">
        <v>121</v>
      </c>
      <c r="E243" s="1">
        <v>4</v>
      </c>
      <c r="F243" s="1">
        <v>60</v>
      </c>
      <c r="H243" s="1">
        <v>1407</v>
      </c>
      <c r="I243" t="s">
        <v>318</v>
      </c>
      <c r="J243" s="1">
        <v>1497.4950975679601</v>
      </c>
      <c r="K243" t="s">
        <v>319</v>
      </c>
      <c r="L243" s="1">
        <v>41.231056256176998</v>
      </c>
      <c r="M243" s="1">
        <v>0</v>
      </c>
      <c r="N243" s="1">
        <v>1</v>
      </c>
      <c r="O243" s="1">
        <v>2</v>
      </c>
      <c r="P243" s="1">
        <v>39.795581575836003</v>
      </c>
      <c r="Q243" s="1">
        <v>1</v>
      </c>
      <c r="R243" s="1">
        <v>2</v>
      </c>
      <c r="S243" s="1">
        <v>2.5</v>
      </c>
      <c r="T243" t="s">
        <v>191</v>
      </c>
      <c r="U243" s="1">
        <v>2</v>
      </c>
      <c r="V243" s="1">
        <v>46.231056256176998</v>
      </c>
      <c r="W243" s="1">
        <v>46.231056256176998</v>
      </c>
      <c r="X243" s="1">
        <v>0</v>
      </c>
      <c r="Y243" s="1">
        <v>0</v>
      </c>
      <c r="Z243" s="1">
        <v>47.295581575836003</v>
      </c>
      <c r="AA243" s="1">
        <v>94.591163151672006</v>
      </c>
      <c r="AB243" s="1">
        <v>10.918339398720001</v>
      </c>
      <c r="AC243" s="1">
        <v>0</v>
      </c>
      <c r="AD243" t="s">
        <v>54</v>
      </c>
    </row>
    <row r="244" spans="1:30" x14ac:dyDescent="0.2">
      <c r="B244" t="s">
        <v>317</v>
      </c>
      <c r="C244">
        <f t="shared" si="3"/>
        <v>2</v>
      </c>
      <c r="D244" t="s">
        <v>121</v>
      </c>
      <c r="E244" s="1">
        <v>4</v>
      </c>
      <c r="F244" s="1">
        <v>90</v>
      </c>
      <c r="H244" s="1">
        <v>1407</v>
      </c>
      <c r="I244" t="s">
        <v>318</v>
      </c>
      <c r="J244" s="1">
        <v>1497.4950975679601</v>
      </c>
      <c r="K244" t="s">
        <v>319</v>
      </c>
      <c r="L244" s="1">
        <v>41.231056256176998</v>
      </c>
      <c r="M244" s="1">
        <v>0</v>
      </c>
      <c r="N244" s="1">
        <v>1</v>
      </c>
      <c r="O244" s="1">
        <v>2</v>
      </c>
      <c r="P244" s="1">
        <v>39.795581575836003</v>
      </c>
      <c r="Q244" s="1">
        <v>1</v>
      </c>
      <c r="R244" s="1">
        <v>2</v>
      </c>
      <c r="S244" s="1">
        <v>2.5</v>
      </c>
      <c r="T244" t="s">
        <v>191</v>
      </c>
      <c r="U244" s="1">
        <v>2</v>
      </c>
      <c r="V244" s="1">
        <v>46.231056256176998</v>
      </c>
      <c r="W244" s="1">
        <v>46.231056256176998</v>
      </c>
      <c r="X244" s="1">
        <v>0</v>
      </c>
      <c r="Y244" s="1">
        <v>0</v>
      </c>
      <c r="Z244" s="1">
        <v>47.295581575836003</v>
      </c>
      <c r="AA244" s="1">
        <v>94.591163151672006</v>
      </c>
      <c r="AB244" s="1">
        <v>10.918339398720001</v>
      </c>
      <c r="AC244" s="1">
        <v>0</v>
      </c>
      <c r="AD244" t="s">
        <v>54</v>
      </c>
    </row>
    <row r="245" spans="1:30" x14ac:dyDescent="0.2">
      <c r="B245" t="s">
        <v>317</v>
      </c>
      <c r="C245">
        <f t="shared" si="3"/>
        <v>2</v>
      </c>
      <c r="D245" t="s">
        <v>121</v>
      </c>
      <c r="E245" s="1">
        <v>4</v>
      </c>
      <c r="F245" s="1">
        <v>120</v>
      </c>
      <c r="H245" s="1">
        <v>1395.62277660168</v>
      </c>
      <c r="I245" t="s">
        <v>320</v>
      </c>
      <c r="J245" s="1">
        <v>1497.4950975679601</v>
      </c>
      <c r="K245" t="s">
        <v>319</v>
      </c>
      <c r="L245" s="1">
        <v>47.200305372876002</v>
      </c>
      <c r="M245" s="1">
        <v>0</v>
      </c>
      <c r="N245" s="1">
        <v>12</v>
      </c>
      <c r="O245" s="1">
        <v>2.666666666667</v>
      </c>
      <c r="P245" s="1">
        <v>39.795581575836003</v>
      </c>
      <c r="Q245" s="1">
        <v>1</v>
      </c>
      <c r="R245" s="1">
        <v>2</v>
      </c>
      <c r="S245" s="1">
        <v>2.5</v>
      </c>
      <c r="T245" t="s">
        <v>191</v>
      </c>
      <c r="U245" s="1">
        <v>2</v>
      </c>
      <c r="V245" s="1">
        <v>52.200305372876002</v>
      </c>
      <c r="W245" s="1">
        <v>626.40366447451197</v>
      </c>
      <c r="X245" s="1">
        <v>6.6327793420510002</v>
      </c>
      <c r="Y245" s="1">
        <v>0</v>
      </c>
      <c r="Z245" s="1">
        <v>47.295581575836003</v>
      </c>
      <c r="AA245" s="1">
        <v>94.591163151672006</v>
      </c>
      <c r="AB245" s="1">
        <v>10.918339398720001</v>
      </c>
      <c r="AC245" s="1">
        <v>0</v>
      </c>
      <c r="AD245" t="s">
        <v>54</v>
      </c>
    </row>
    <row r="246" spans="1:30" x14ac:dyDescent="0.2">
      <c r="B246" t="s">
        <v>317</v>
      </c>
      <c r="C246">
        <f t="shared" si="3"/>
        <v>2</v>
      </c>
      <c r="D246" t="s">
        <v>121</v>
      </c>
      <c r="E246" s="1">
        <v>8</v>
      </c>
      <c r="F246" s="1">
        <v>60</v>
      </c>
      <c r="I246" t="s">
        <v>320</v>
      </c>
      <c r="J246" s="1">
        <v>1467.2273038108101</v>
      </c>
      <c r="K246" t="s">
        <v>321</v>
      </c>
      <c r="P246" s="1">
        <v>51.197866559289999</v>
      </c>
      <c r="Q246" s="1">
        <v>1</v>
      </c>
      <c r="R246" s="1">
        <v>1</v>
      </c>
      <c r="S246" s="1">
        <v>5</v>
      </c>
      <c r="T246" t="s">
        <v>191</v>
      </c>
      <c r="U246" s="1">
        <v>2</v>
      </c>
      <c r="Z246" s="1">
        <v>61.197866559289999</v>
      </c>
      <c r="AA246" s="1">
        <v>61.197866559289999</v>
      </c>
      <c r="AB246" s="1">
        <v>8.3457765036929992</v>
      </c>
      <c r="AC246" s="1">
        <v>0</v>
      </c>
      <c r="AD246" t="s">
        <v>54</v>
      </c>
    </row>
    <row r="247" spans="1:30" x14ac:dyDescent="0.2">
      <c r="B247" t="s">
        <v>317</v>
      </c>
      <c r="C247">
        <f t="shared" si="3"/>
        <v>2</v>
      </c>
      <c r="D247" t="s">
        <v>121</v>
      </c>
      <c r="E247" s="1">
        <v>8</v>
      </c>
      <c r="F247" s="1">
        <v>90</v>
      </c>
      <c r="H247" s="1">
        <v>1270.75883680628</v>
      </c>
      <c r="I247" t="s">
        <v>322</v>
      </c>
      <c r="J247" s="1">
        <v>1270.75883680628</v>
      </c>
      <c r="K247" t="s">
        <v>322</v>
      </c>
      <c r="L247" s="1">
        <v>55.220673438638997</v>
      </c>
      <c r="M247" s="1">
        <v>2</v>
      </c>
      <c r="N247" s="1">
        <v>7</v>
      </c>
      <c r="O247" s="1">
        <v>4.8571428571429998</v>
      </c>
      <c r="P247" s="1">
        <v>55.220673438638997</v>
      </c>
      <c r="Q247" s="1">
        <v>2</v>
      </c>
      <c r="R247" s="1">
        <v>7</v>
      </c>
      <c r="S247" s="1">
        <v>4.8571428571429998</v>
      </c>
      <c r="T247" t="s">
        <v>191</v>
      </c>
      <c r="U247" s="1">
        <v>2</v>
      </c>
      <c r="V247" s="1">
        <v>60.934959152925003</v>
      </c>
      <c r="W247" s="1">
        <v>426.54471407047498</v>
      </c>
      <c r="X247" s="1">
        <v>22.077572023199998</v>
      </c>
      <c r="Y247" s="1">
        <v>0</v>
      </c>
      <c r="Z247" s="1">
        <v>60.934959152925003</v>
      </c>
      <c r="AA247" s="1">
        <v>426.54471407047498</v>
      </c>
      <c r="AB247" s="1">
        <v>22.077572023199998</v>
      </c>
      <c r="AC247" s="1">
        <v>0</v>
      </c>
      <c r="AD247" t="s">
        <v>54</v>
      </c>
    </row>
    <row r="248" spans="1:30" x14ac:dyDescent="0.2">
      <c r="A248" s="1">
        <v>103</v>
      </c>
      <c r="B248" t="s">
        <v>323</v>
      </c>
      <c r="C248">
        <f t="shared" si="3"/>
        <v>3</v>
      </c>
      <c r="D248" t="s">
        <v>121</v>
      </c>
      <c r="E248" s="1">
        <v>4</v>
      </c>
      <c r="F248" s="1">
        <v>60</v>
      </c>
      <c r="G248" s="1">
        <v>1</v>
      </c>
      <c r="H248" s="1">
        <v>1587.21320343559</v>
      </c>
      <c r="I248" t="s">
        <v>324</v>
      </c>
      <c r="J248" s="1">
        <v>1751</v>
      </c>
      <c r="K248" t="s">
        <v>325</v>
      </c>
      <c r="L248" s="1">
        <v>32.526916447223002</v>
      </c>
      <c r="M248" s="1">
        <v>0</v>
      </c>
      <c r="N248" s="1">
        <v>13</v>
      </c>
      <c r="O248" s="1">
        <v>2.6923076923079998</v>
      </c>
      <c r="P248" s="1">
        <v>39.177860862818001</v>
      </c>
      <c r="Q248" s="1">
        <v>1</v>
      </c>
      <c r="R248" s="1">
        <v>4</v>
      </c>
      <c r="S248" s="1">
        <v>3</v>
      </c>
      <c r="T248" t="s">
        <v>191</v>
      </c>
      <c r="U248" s="1">
        <v>3</v>
      </c>
      <c r="V248" s="1">
        <v>37.526916447223002</v>
      </c>
      <c r="W248" s="1">
        <v>487.84991381389898</v>
      </c>
      <c r="X248" s="1">
        <v>13.582606400814999</v>
      </c>
      <c r="Y248" s="1">
        <v>0</v>
      </c>
      <c r="Z248" s="1">
        <v>44.177860862818001</v>
      </c>
      <c r="AA248" s="1">
        <v>176.711443451272</v>
      </c>
      <c r="AB248" s="1">
        <v>0</v>
      </c>
      <c r="AC248" s="1">
        <v>0</v>
      </c>
      <c r="AD248" t="s">
        <v>36</v>
      </c>
    </row>
    <row r="249" spans="1:30" x14ac:dyDescent="0.2">
      <c r="A249" s="1">
        <v>104</v>
      </c>
      <c r="B249" t="s">
        <v>323</v>
      </c>
      <c r="C249">
        <f t="shared" si="3"/>
        <v>3</v>
      </c>
      <c r="D249" t="s">
        <v>121</v>
      </c>
      <c r="E249" s="1">
        <v>4</v>
      </c>
      <c r="F249" s="1">
        <v>90</v>
      </c>
      <c r="G249" s="1">
        <v>1</v>
      </c>
      <c r="H249" s="1">
        <v>1587.21320343559</v>
      </c>
      <c r="I249" t="s">
        <v>324</v>
      </c>
      <c r="J249" s="1">
        <v>1675.0555127546399</v>
      </c>
      <c r="K249" t="s">
        <v>326</v>
      </c>
      <c r="L249" s="1">
        <v>32.526916447223002</v>
      </c>
      <c r="M249" s="1">
        <v>0</v>
      </c>
      <c r="N249" s="1">
        <v>13</v>
      </c>
      <c r="O249" s="1">
        <v>2.6923076923079998</v>
      </c>
      <c r="P249" s="1">
        <v>64.147358829699002</v>
      </c>
      <c r="Q249" s="1">
        <v>1</v>
      </c>
      <c r="R249" s="1">
        <v>11</v>
      </c>
      <c r="S249" s="1">
        <v>3.4545454545449998</v>
      </c>
      <c r="T249" t="s">
        <v>191</v>
      </c>
      <c r="U249" s="1">
        <v>3</v>
      </c>
      <c r="V249" s="1">
        <v>37.526916447223002</v>
      </c>
      <c r="W249" s="1">
        <v>487.84991381389898</v>
      </c>
      <c r="X249" s="1">
        <v>13.582606400814999</v>
      </c>
      <c r="Y249" s="1">
        <v>0</v>
      </c>
      <c r="Z249" s="1">
        <v>69.601904284244995</v>
      </c>
      <c r="AA249" s="1">
        <v>765.620947126695</v>
      </c>
      <c r="AB249" s="1">
        <v>10.784237651164</v>
      </c>
      <c r="AC249" s="1">
        <v>0</v>
      </c>
      <c r="AD249" t="s">
        <v>36</v>
      </c>
    </row>
    <row r="250" spans="1:30" x14ac:dyDescent="0.2">
      <c r="B250" t="s">
        <v>323</v>
      </c>
      <c r="C250">
        <f t="shared" si="3"/>
        <v>3</v>
      </c>
      <c r="D250" t="s">
        <v>121</v>
      </c>
      <c r="E250" s="1">
        <v>4</v>
      </c>
      <c r="F250" s="1">
        <v>120</v>
      </c>
      <c r="H250" s="1">
        <v>1587.21320343559</v>
      </c>
      <c r="I250" t="s">
        <v>324</v>
      </c>
      <c r="J250" s="1">
        <v>1651.8328677803499</v>
      </c>
      <c r="K250" t="s">
        <v>327</v>
      </c>
      <c r="L250" s="1">
        <v>32.526916447223002</v>
      </c>
      <c r="M250" s="1">
        <v>0</v>
      </c>
      <c r="N250" s="1">
        <v>13</v>
      </c>
      <c r="O250" s="1">
        <v>2.6923076923079998</v>
      </c>
      <c r="P250" s="1">
        <v>60.655960976031999</v>
      </c>
      <c r="Q250" s="1">
        <v>3</v>
      </c>
      <c r="R250" s="1">
        <v>11</v>
      </c>
      <c r="S250" s="1">
        <v>3.181818181818</v>
      </c>
      <c r="T250" t="s">
        <v>191</v>
      </c>
      <c r="U250" s="1">
        <v>3</v>
      </c>
      <c r="V250" s="1">
        <v>37.526916447223002</v>
      </c>
      <c r="W250" s="1">
        <v>487.84991381389898</v>
      </c>
      <c r="X250" s="1">
        <v>13.582606400814999</v>
      </c>
      <c r="Y250" s="1">
        <v>0</v>
      </c>
      <c r="Z250" s="1">
        <v>66.565051885122998</v>
      </c>
      <c r="AA250" s="1">
        <v>732.21557073635302</v>
      </c>
      <c r="AB250" s="1">
        <v>24.567222110987998</v>
      </c>
      <c r="AC250" s="1">
        <v>0.204807282536</v>
      </c>
      <c r="AD250" t="s">
        <v>54</v>
      </c>
    </row>
    <row r="251" spans="1:30" x14ac:dyDescent="0.2">
      <c r="B251" t="s">
        <v>323</v>
      </c>
      <c r="C251">
        <f t="shared" si="3"/>
        <v>3</v>
      </c>
      <c r="D251" t="s">
        <v>121</v>
      </c>
      <c r="E251" s="1">
        <v>8</v>
      </c>
      <c r="F251" s="1">
        <v>60</v>
      </c>
      <c r="H251" s="1">
        <v>1568.3245553203301</v>
      </c>
      <c r="I251" t="s">
        <v>328</v>
      </c>
      <c r="J251" s="1">
        <v>1575.02775637732</v>
      </c>
      <c r="K251" t="s">
        <v>329</v>
      </c>
      <c r="L251" s="1">
        <v>41.418389992841</v>
      </c>
      <c r="M251" s="1">
        <v>0</v>
      </c>
      <c r="N251" s="1">
        <v>11</v>
      </c>
      <c r="O251" s="1">
        <v>3.363636363636</v>
      </c>
      <c r="P251" s="1">
        <v>41.596251318556</v>
      </c>
      <c r="Q251" s="1">
        <v>1</v>
      </c>
      <c r="R251" s="1">
        <v>9</v>
      </c>
      <c r="S251" s="1">
        <v>3.2222222222219998</v>
      </c>
      <c r="T251" t="s">
        <v>191</v>
      </c>
      <c r="U251" s="1">
        <v>3</v>
      </c>
      <c r="V251" s="1">
        <v>46.418389992841</v>
      </c>
      <c r="W251" s="1">
        <v>510.60228992125099</v>
      </c>
      <c r="X251" s="1">
        <v>10.617164046992</v>
      </c>
      <c r="Y251" s="1">
        <v>0</v>
      </c>
      <c r="Z251" s="1">
        <v>46.596251318556</v>
      </c>
      <c r="AA251" s="1">
        <v>419.36626186700403</v>
      </c>
      <c r="AB251" s="1">
        <v>1.0030840419239999</v>
      </c>
      <c r="AC251" s="1">
        <v>0</v>
      </c>
      <c r="AD251" t="s">
        <v>54</v>
      </c>
    </row>
    <row r="252" spans="1:30" x14ac:dyDescent="0.2">
      <c r="B252" t="s">
        <v>323</v>
      </c>
      <c r="C252">
        <f t="shared" si="3"/>
        <v>3</v>
      </c>
      <c r="D252" t="s">
        <v>121</v>
      </c>
      <c r="E252" s="1">
        <v>8</v>
      </c>
      <c r="F252" s="1">
        <v>90</v>
      </c>
      <c r="H252" s="1">
        <v>1568.3245553203301</v>
      </c>
      <c r="I252" t="s">
        <v>328</v>
      </c>
      <c r="J252" s="1">
        <v>1738.43416490252</v>
      </c>
      <c r="K252" t="s">
        <v>330</v>
      </c>
      <c r="L252" s="1">
        <v>41.418389992841</v>
      </c>
      <c r="M252" s="1">
        <v>0</v>
      </c>
      <c r="N252" s="1">
        <v>11</v>
      </c>
      <c r="O252" s="1">
        <v>3.363636363636</v>
      </c>
      <c r="P252" s="1">
        <v>71.197070313447</v>
      </c>
      <c r="Q252" s="1">
        <v>3</v>
      </c>
      <c r="R252" s="1">
        <v>9</v>
      </c>
      <c r="S252" s="1">
        <v>3.333333333333</v>
      </c>
      <c r="T252" t="s">
        <v>191</v>
      </c>
      <c r="U252" s="1">
        <v>3</v>
      </c>
      <c r="V252" s="1">
        <v>46.418389992841</v>
      </c>
      <c r="W252" s="1">
        <v>510.60228992125099</v>
      </c>
      <c r="X252" s="1">
        <v>10.617164046992</v>
      </c>
      <c r="Y252" s="1">
        <v>0</v>
      </c>
      <c r="Z252" s="1">
        <v>77.863736980113998</v>
      </c>
      <c r="AA252" s="1">
        <v>700.77363282102601</v>
      </c>
      <c r="AB252" s="1">
        <v>14.107992023487</v>
      </c>
      <c r="AC252" s="1">
        <v>3.2251155828879998</v>
      </c>
      <c r="AD252" t="s">
        <v>54</v>
      </c>
    </row>
    <row r="253" spans="1:30" x14ac:dyDescent="0.2">
      <c r="B253" t="s">
        <v>323</v>
      </c>
      <c r="C253">
        <f t="shared" si="3"/>
        <v>3</v>
      </c>
      <c r="D253" t="s">
        <v>121</v>
      </c>
      <c r="E253" s="1">
        <v>8</v>
      </c>
      <c r="F253" s="1">
        <v>120</v>
      </c>
      <c r="H253" s="1">
        <v>1568.3245553203301</v>
      </c>
      <c r="I253" t="s">
        <v>328</v>
      </c>
      <c r="J253" s="1">
        <v>1651.8328677803499</v>
      </c>
      <c r="K253" t="s">
        <v>331</v>
      </c>
      <c r="L253" s="1">
        <v>41.418389992841</v>
      </c>
      <c r="M253" s="1">
        <v>0</v>
      </c>
      <c r="N253" s="1">
        <v>11</v>
      </c>
      <c r="O253" s="1">
        <v>3.363636363636</v>
      </c>
      <c r="P253" s="1">
        <v>66.361738587111006</v>
      </c>
      <c r="Q253" s="1">
        <v>4</v>
      </c>
      <c r="R253" s="1">
        <v>10</v>
      </c>
      <c r="S253" s="1">
        <v>3.5</v>
      </c>
      <c r="T253" t="s">
        <v>191</v>
      </c>
      <c r="U253" s="1">
        <v>3</v>
      </c>
      <c r="V253" s="1">
        <v>46.418389992841</v>
      </c>
      <c r="W253" s="1">
        <v>510.60228992125099</v>
      </c>
      <c r="X253" s="1">
        <v>10.617164046992</v>
      </c>
      <c r="Y253" s="1">
        <v>0</v>
      </c>
      <c r="Z253" s="1">
        <v>72.861738587111006</v>
      </c>
      <c r="AA253" s="1">
        <v>728.61738587110995</v>
      </c>
      <c r="AB253" s="1">
        <v>24.567222110987998</v>
      </c>
      <c r="AC253" s="1">
        <v>0.39537194754799998</v>
      </c>
      <c r="AD253" t="s">
        <v>54</v>
      </c>
    </row>
    <row r="254" spans="1:30" x14ac:dyDescent="0.2">
      <c r="A254" s="1">
        <v>127</v>
      </c>
      <c r="B254" t="s">
        <v>332</v>
      </c>
      <c r="C254">
        <f t="shared" si="3"/>
        <v>0.5</v>
      </c>
      <c r="D254" t="s">
        <v>156</v>
      </c>
      <c r="E254" s="1">
        <v>4</v>
      </c>
      <c r="F254" s="1">
        <v>60</v>
      </c>
      <c r="G254" s="1">
        <v>1</v>
      </c>
      <c r="H254" s="1">
        <v>700</v>
      </c>
      <c r="I254" t="s">
        <v>333</v>
      </c>
      <c r="L254" s="1">
        <v>0</v>
      </c>
      <c r="M254" s="1">
        <v>0</v>
      </c>
      <c r="N254" s="1">
        <v>0</v>
      </c>
      <c r="O254" s="1">
        <v>0</v>
      </c>
      <c r="T254" t="s">
        <v>191</v>
      </c>
      <c r="U254" s="1">
        <v>0.5</v>
      </c>
      <c r="V254" s="1">
        <v>0</v>
      </c>
      <c r="W254" s="1">
        <v>0</v>
      </c>
      <c r="X254" s="1">
        <v>0</v>
      </c>
      <c r="Y254" s="1">
        <v>0</v>
      </c>
      <c r="AD254" t="s">
        <v>36</v>
      </c>
    </row>
    <row r="255" spans="1:30" x14ac:dyDescent="0.2">
      <c r="A255" s="1">
        <v>128</v>
      </c>
      <c r="B255" t="s">
        <v>332</v>
      </c>
      <c r="C255">
        <f t="shared" si="3"/>
        <v>0.5</v>
      </c>
      <c r="D255" t="s">
        <v>156</v>
      </c>
      <c r="E255" s="1">
        <v>4</v>
      </c>
      <c r="F255" s="1">
        <v>90</v>
      </c>
      <c r="G255" s="1">
        <v>1</v>
      </c>
      <c r="H255" s="1">
        <v>700</v>
      </c>
      <c r="I255" t="s">
        <v>333</v>
      </c>
      <c r="L255" s="1">
        <v>0</v>
      </c>
      <c r="M255" s="1">
        <v>0</v>
      </c>
      <c r="N255" s="1">
        <v>0</v>
      </c>
      <c r="O255" s="1">
        <v>0</v>
      </c>
      <c r="T255" t="s">
        <v>191</v>
      </c>
      <c r="U255" s="1">
        <v>0.5</v>
      </c>
      <c r="V255" s="1">
        <v>0</v>
      </c>
      <c r="W255" s="1">
        <v>0</v>
      </c>
      <c r="X255" s="1">
        <v>0</v>
      </c>
      <c r="Y255" s="1">
        <v>0</v>
      </c>
      <c r="AD255" t="s">
        <v>36</v>
      </c>
    </row>
    <row r="256" spans="1:30" x14ac:dyDescent="0.2">
      <c r="A256" s="1">
        <v>129</v>
      </c>
      <c r="B256" t="s">
        <v>332</v>
      </c>
      <c r="C256">
        <f t="shared" si="3"/>
        <v>0.5</v>
      </c>
      <c r="D256" t="s">
        <v>156</v>
      </c>
      <c r="E256" s="1">
        <v>4</v>
      </c>
      <c r="F256" s="1">
        <v>120</v>
      </c>
      <c r="G256" s="1">
        <v>1</v>
      </c>
      <c r="H256" s="1">
        <v>678</v>
      </c>
      <c r="I256" t="s">
        <v>334</v>
      </c>
      <c r="J256" s="1">
        <v>678</v>
      </c>
      <c r="K256" t="s">
        <v>334</v>
      </c>
      <c r="L256" s="1">
        <v>65.148885830164005</v>
      </c>
      <c r="M256" s="1">
        <v>2</v>
      </c>
      <c r="N256" s="1">
        <v>2</v>
      </c>
      <c r="O256" s="1">
        <v>3</v>
      </c>
      <c r="P256" s="1">
        <v>65.148885830164005</v>
      </c>
      <c r="Q256" s="1">
        <v>2</v>
      </c>
      <c r="R256" s="1">
        <v>2</v>
      </c>
      <c r="S256" s="1">
        <v>3</v>
      </c>
      <c r="T256" t="s">
        <v>191</v>
      </c>
      <c r="U256" s="1">
        <v>0.5</v>
      </c>
      <c r="V256" s="1">
        <v>70.148885830164005</v>
      </c>
      <c r="W256" s="1">
        <v>140.29777166032801</v>
      </c>
      <c r="X256" s="1">
        <v>0</v>
      </c>
      <c r="Y256" s="1">
        <v>0</v>
      </c>
      <c r="Z256" s="1">
        <v>70.148885830164005</v>
      </c>
      <c r="AA256" s="1">
        <v>140.29777166032801</v>
      </c>
      <c r="AB256" s="1">
        <v>0</v>
      </c>
      <c r="AC256" s="1">
        <v>0</v>
      </c>
      <c r="AD256" t="s">
        <v>36</v>
      </c>
    </row>
    <row r="257" spans="1:30" x14ac:dyDescent="0.2">
      <c r="A257" s="1">
        <v>130</v>
      </c>
      <c r="B257" t="s">
        <v>332</v>
      </c>
      <c r="C257">
        <f t="shared" si="3"/>
        <v>0.5</v>
      </c>
      <c r="D257" t="s">
        <v>156</v>
      </c>
      <c r="E257" s="1">
        <v>8</v>
      </c>
      <c r="F257" s="1">
        <v>60</v>
      </c>
      <c r="G257" s="1">
        <v>1</v>
      </c>
      <c r="H257" s="1">
        <v>700</v>
      </c>
      <c r="I257" t="s">
        <v>335</v>
      </c>
      <c r="L257" s="1">
        <v>0</v>
      </c>
      <c r="M257" s="1">
        <v>0</v>
      </c>
      <c r="N257" s="1">
        <v>0</v>
      </c>
      <c r="O257" s="1">
        <v>0</v>
      </c>
      <c r="T257" t="s">
        <v>191</v>
      </c>
      <c r="U257" s="1">
        <v>0.5</v>
      </c>
      <c r="V257" s="1">
        <v>0</v>
      </c>
      <c r="W257" s="1">
        <v>0</v>
      </c>
      <c r="X257" s="1">
        <v>0</v>
      </c>
      <c r="Y257" s="1">
        <v>0</v>
      </c>
      <c r="AD257" t="s">
        <v>36</v>
      </c>
    </row>
    <row r="258" spans="1:30" x14ac:dyDescent="0.2">
      <c r="A258" s="1">
        <v>131</v>
      </c>
      <c r="B258" t="s">
        <v>332</v>
      </c>
      <c r="C258">
        <f t="shared" si="3"/>
        <v>0.5</v>
      </c>
      <c r="D258" t="s">
        <v>156</v>
      </c>
      <c r="E258" s="1">
        <v>8</v>
      </c>
      <c r="F258" s="1">
        <v>90</v>
      </c>
      <c r="G258" s="1">
        <v>1</v>
      </c>
      <c r="H258" s="1">
        <v>700</v>
      </c>
      <c r="I258" t="s">
        <v>335</v>
      </c>
      <c r="L258" s="1">
        <v>0</v>
      </c>
      <c r="M258" s="1">
        <v>0</v>
      </c>
      <c r="N258" s="1">
        <v>0</v>
      </c>
      <c r="O258" s="1">
        <v>0</v>
      </c>
      <c r="T258" t="s">
        <v>191</v>
      </c>
      <c r="U258" s="1">
        <v>0.5</v>
      </c>
      <c r="V258" s="1">
        <v>0</v>
      </c>
      <c r="W258" s="1">
        <v>0</v>
      </c>
      <c r="X258" s="1">
        <v>0</v>
      </c>
      <c r="Y258" s="1">
        <v>0</v>
      </c>
      <c r="AD258" t="s">
        <v>36</v>
      </c>
    </row>
    <row r="259" spans="1:30" x14ac:dyDescent="0.2">
      <c r="A259" s="1">
        <v>132</v>
      </c>
      <c r="B259" t="s">
        <v>332</v>
      </c>
      <c r="C259">
        <f t="shared" ref="C259:C289" si="4">VALUE(_xlfn.TEXTBEFORE(_xlfn.TEXTAFTER(B259,"_",-1),".dat"))</f>
        <v>0.5</v>
      </c>
      <c r="D259" t="s">
        <v>156</v>
      </c>
      <c r="E259" s="1">
        <v>8</v>
      </c>
      <c r="F259" s="1">
        <v>120</v>
      </c>
      <c r="G259" s="1">
        <v>1</v>
      </c>
      <c r="H259" s="1">
        <v>665.35533905932698</v>
      </c>
      <c r="I259" t="s">
        <v>336</v>
      </c>
      <c r="J259" s="1">
        <v>665.35533905932698</v>
      </c>
      <c r="K259" t="s">
        <v>336</v>
      </c>
      <c r="L259" s="1">
        <v>73.682874852801007</v>
      </c>
      <c r="M259" s="1">
        <v>1</v>
      </c>
      <c r="N259" s="1">
        <v>2</v>
      </c>
      <c r="O259" s="1">
        <v>4.5</v>
      </c>
      <c r="P259" s="1">
        <v>73.682874852801007</v>
      </c>
      <c r="Q259" s="1">
        <v>1</v>
      </c>
      <c r="R259" s="1">
        <v>2</v>
      </c>
      <c r="S259" s="1">
        <v>4.5</v>
      </c>
      <c r="T259" t="s">
        <v>191</v>
      </c>
      <c r="U259" s="1">
        <v>0.5</v>
      </c>
      <c r="V259" s="1">
        <v>78.682874852801007</v>
      </c>
      <c r="W259" s="1">
        <v>157.36574970560201</v>
      </c>
      <c r="X259" s="1">
        <v>1.6776695296640001</v>
      </c>
      <c r="Y259" s="1">
        <v>0</v>
      </c>
      <c r="Z259" s="1">
        <v>78.682874852801007</v>
      </c>
      <c r="AA259" s="1">
        <v>157.36574970560201</v>
      </c>
      <c r="AB259" s="1">
        <v>1.6776695296640001</v>
      </c>
      <c r="AC259" s="1">
        <v>0</v>
      </c>
      <c r="AD259" t="s">
        <v>36</v>
      </c>
    </row>
    <row r="260" spans="1:30" x14ac:dyDescent="0.2">
      <c r="A260" s="1">
        <v>115</v>
      </c>
      <c r="B260" t="s">
        <v>337</v>
      </c>
      <c r="C260">
        <f t="shared" si="4"/>
        <v>1.5</v>
      </c>
      <c r="D260" t="s">
        <v>156</v>
      </c>
      <c r="E260" s="1">
        <v>4</v>
      </c>
      <c r="F260" s="1">
        <v>60</v>
      </c>
      <c r="G260" s="1">
        <v>1</v>
      </c>
      <c r="H260" s="1">
        <v>1168</v>
      </c>
      <c r="I260" t="s">
        <v>338</v>
      </c>
      <c r="L260" s="1">
        <v>0</v>
      </c>
      <c r="M260" s="1">
        <v>0</v>
      </c>
      <c r="N260" s="1">
        <v>0</v>
      </c>
      <c r="O260" s="1">
        <v>0</v>
      </c>
      <c r="T260" t="s">
        <v>191</v>
      </c>
      <c r="U260" s="1">
        <v>1.5</v>
      </c>
      <c r="V260" s="1">
        <v>0</v>
      </c>
      <c r="W260" s="1">
        <v>0</v>
      </c>
      <c r="X260" s="1">
        <v>0</v>
      </c>
      <c r="Y260" s="1">
        <v>0</v>
      </c>
      <c r="AD260" t="s">
        <v>36</v>
      </c>
    </row>
    <row r="261" spans="1:30" x14ac:dyDescent="0.2">
      <c r="A261" s="1">
        <v>134</v>
      </c>
      <c r="B261" t="s">
        <v>337</v>
      </c>
      <c r="C261">
        <f t="shared" si="4"/>
        <v>1.5</v>
      </c>
      <c r="D261" t="s">
        <v>156</v>
      </c>
      <c r="E261" s="1">
        <v>4</v>
      </c>
      <c r="F261" s="1">
        <v>90</v>
      </c>
      <c r="G261" s="1">
        <v>1</v>
      </c>
      <c r="H261" s="1">
        <v>1020</v>
      </c>
      <c r="I261" t="s">
        <v>339</v>
      </c>
      <c r="J261" s="1">
        <v>1114</v>
      </c>
      <c r="K261" t="s">
        <v>340</v>
      </c>
      <c r="L261" s="1">
        <v>72.111025509279997</v>
      </c>
      <c r="M261" s="1">
        <v>0</v>
      </c>
      <c r="N261" s="1">
        <v>1</v>
      </c>
      <c r="O261" s="1">
        <v>3</v>
      </c>
      <c r="P261" s="1">
        <v>72.111025509279997</v>
      </c>
      <c r="Q261" s="1">
        <v>1</v>
      </c>
      <c r="R261" s="1">
        <v>1</v>
      </c>
      <c r="S261" s="1">
        <v>4</v>
      </c>
      <c r="T261" t="s">
        <v>191</v>
      </c>
      <c r="U261" s="1">
        <v>1.5</v>
      </c>
      <c r="V261" s="1">
        <v>77.111025509279997</v>
      </c>
      <c r="W261" s="1">
        <v>77.111025509279997</v>
      </c>
      <c r="X261" s="1">
        <v>0</v>
      </c>
      <c r="Y261" s="1">
        <v>0</v>
      </c>
      <c r="Z261" s="1">
        <v>77.111025509279997</v>
      </c>
      <c r="AA261" s="1">
        <v>77.111025509279997</v>
      </c>
      <c r="AB261" s="1">
        <v>0</v>
      </c>
      <c r="AC261" s="1">
        <v>0</v>
      </c>
      <c r="AD261" t="s">
        <v>36</v>
      </c>
    </row>
    <row r="262" spans="1:30" x14ac:dyDescent="0.2">
      <c r="A262" s="1">
        <v>135</v>
      </c>
      <c r="B262" t="s">
        <v>337</v>
      </c>
      <c r="C262">
        <f t="shared" si="4"/>
        <v>1.5</v>
      </c>
      <c r="D262" t="s">
        <v>156</v>
      </c>
      <c r="E262" s="1">
        <v>4</v>
      </c>
      <c r="F262" s="1">
        <v>120</v>
      </c>
      <c r="G262" s="1">
        <v>1</v>
      </c>
      <c r="H262" s="1">
        <v>985.05551275463995</v>
      </c>
      <c r="I262" t="s">
        <v>341</v>
      </c>
      <c r="J262" s="1">
        <v>985.05551275463995</v>
      </c>
      <c r="K262" t="s">
        <v>341</v>
      </c>
      <c r="L262" s="1">
        <v>65.111466638425</v>
      </c>
      <c r="M262" s="1">
        <v>1</v>
      </c>
      <c r="N262" s="1">
        <v>3</v>
      </c>
      <c r="O262" s="1">
        <v>3.666666666667</v>
      </c>
      <c r="P262" s="1">
        <v>65.111466638425</v>
      </c>
      <c r="Q262" s="1">
        <v>1</v>
      </c>
      <c r="R262" s="1">
        <v>3</v>
      </c>
      <c r="S262" s="1">
        <v>3.666666666667</v>
      </c>
      <c r="T262" t="s">
        <v>191</v>
      </c>
      <c r="U262" s="1">
        <v>1.5</v>
      </c>
      <c r="V262" s="1">
        <v>70.111466638425</v>
      </c>
      <c r="W262" s="1">
        <v>210.33439991527499</v>
      </c>
      <c r="X262" s="1">
        <v>23.287118785379999</v>
      </c>
      <c r="Y262" s="1">
        <v>0</v>
      </c>
      <c r="Z262" s="1">
        <v>70.111466638425</v>
      </c>
      <c r="AA262" s="1">
        <v>210.33439991527499</v>
      </c>
      <c r="AB262" s="1">
        <v>23.287118785379999</v>
      </c>
      <c r="AC262" s="1">
        <v>0</v>
      </c>
      <c r="AD262" t="s">
        <v>36</v>
      </c>
    </row>
    <row r="263" spans="1:30" x14ac:dyDescent="0.2">
      <c r="A263" s="1">
        <v>136</v>
      </c>
      <c r="B263" t="s">
        <v>337</v>
      </c>
      <c r="C263">
        <f t="shared" si="4"/>
        <v>1.5</v>
      </c>
      <c r="D263" t="s">
        <v>156</v>
      </c>
      <c r="E263" s="1">
        <v>8</v>
      </c>
      <c r="F263" s="1">
        <v>60</v>
      </c>
      <c r="G263" s="1">
        <v>1</v>
      </c>
      <c r="H263" s="1">
        <v>1068</v>
      </c>
      <c r="I263" t="s">
        <v>342</v>
      </c>
      <c r="L263" s="1">
        <v>0</v>
      </c>
      <c r="M263" s="1">
        <v>0</v>
      </c>
      <c r="N263" s="1">
        <v>0</v>
      </c>
      <c r="O263" s="1">
        <v>0</v>
      </c>
      <c r="T263" t="s">
        <v>191</v>
      </c>
      <c r="U263" s="1">
        <v>1.5</v>
      </c>
      <c r="V263" s="1">
        <v>0</v>
      </c>
      <c r="W263" s="1">
        <v>0</v>
      </c>
      <c r="X263" s="1">
        <v>0</v>
      </c>
      <c r="Y263" s="1">
        <v>0</v>
      </c>
      <c r="AD263" t="s">
        <v>36</v>
      </c>
    </row>
    <row r="264" spans="1:30" x14ac:dyDescent="0.2">
      <c r="A264" s="1">
        <v>137</v>
      </c>
      <c r="B264" t="s">
        <v>337</v>
      </c>
      <c r="C264">
        <f t="shared" si="4"/>
        <v>1.5</v>
      </c>
      <c r="D264" t="s">
        <v>156</v>
      </c>
      <c r="E264" s="1">
        <v>8</v>
      </c>
      <c r="F264" s="1">
        <v>90</v>
      </c>
      <c r="G264" s="1">
        <v>1</v>
      </c>
      <c r="H264" s="1">
        <v>1020</v>
      </c>
      <c r="I264" t="s">
        <v>339</v>
      </c>
      <c r="J264" s="1">
        <v>1103</v>
      </c>
      <c r="K264" t="s">
        <v>343</v>
      </c>
      <c r="L264" s="1">
        <v>72.111025509279997</v>
      </c>
      <c r="M264" s="1">
        <v>0</v>
      </c>
      <c r="N264" s="1">
        <v>1</v>
      </c>
      <c r="O264" s="1">
        <v>3</v>
      </c>
      <c r="P264" s="1">
        <v>73.791437282865999</v>
      </c>
      <c r="Q264" s="1">
        <v>1</v>
      </c>
      <c r="R264" s="1">
        <v>2</v>
      </c>
      <c r="S264" s="1">
        <v>2.5</v>
      </c>
      <c r="T264" t="s">
        <v>191</v>
      </c>
      <c r="U264" s="1">
        <v>1.5</v>
      </c>
      <c r="V264" s="1">
        <v>77.111025509279997</v>
      </c>
      <c r="W264" s="1">
        <v>77.111025509279997</v>
      </c>
      <c r="X264" s="1">
        <v>0</v>
      </c>
      <c r="Y264" s="1">
        <v>0</v>
      </c>
      <c r="Z264" s="1">
        <v>78.791437282865999</v>
      </c>
      <c r="AA264" s="1">
        <v>157.582874565732</v>
      </c>
      <c r="AB264" s="1">
        <v>0</v>
      </c>
      <c r="AC264" s="1">
        <v>0</v>
      </c>
      <c r="AD264" t="s">
        <v>36</v>
      </c>
    </row>
    <row r="265" spans="1:30" x14ac:dyDescent="0.2">
      <c r="A265" s="1">
        <v>138</v>
      </c>
      <c r="B265" t="s">
        <v>337</v>
      </c>
      <c r="C265">
        <f t="shared" si="4"/>
        <v>1.5</v>
      </c>
      <c r="D265" t="s">
        <v>156</v>
      </c>
      <c r="E265" s="1">
        <v>8</v>
      </c>
      <c r="F265" s="1">
        <v>120</v>
      </c>
      <c r="G265" s="1">
        <v>3</v>
      </c>
      <c r="H265" s="1">
        <v>985.05551275463995</v>
      </c>
      <c r="I265" t="s">
        <v>341</v>
      </c>
      <c r="J265" s="1">
        <v>985.05551275463995</v>
      </c>
      <c r="K265" t="s">
        <v>341</v>
      </c>
      <c r="L265" s="1">
        <v>65.111466638425</v>
      </c>
      <c r="M265" s="1">
        <v>1</v>
      </c>
      <c r="N265" s="1">
        <v>3</v>
      </c>
      <c r="O265" s="1">
        <v>3.666666666667</v>
      </c>
      <c r="P265" s="1">
        <v>65.111466638425</v>
      </c>
      <c r="Q265" s="1">
        <v>1</v>
      </c>
      <c r="R265" s="1">
        <v>3</v>
      </c>
      <c r="S265" s="1">
        <v>3.666666666667</v>
      </c>
      <c r="T265" t="s">
        <v>191</v>
      </c>
      <c r="U265" s="1">
        <v>1.5</v>
      </c>
      <c r="V265" s="1">
        <v>70.111466638425</v>
      </c>
      <c r="W265" s="1">
        <v>210.33439991527499</v>
      </c>
      <c r="X265" s="1">
        <v>23.287118785379999</v>
      </c>
      <c r="Y265" s="1">
        <v>0</v>
      </c>
      <c r="Z265" s="1">
        <v>70.111466638425</v>
      </c>
      <c r="AA265" s="1">
        <v>210.33439991527499</v>
      </c>
      <c r="AB265" s="1">
        <v>23.287118785379999</v>
      </c>
      <c r="AC265" s="1">
        <v>0</v>
      </c>
      <c r="AD265" t="s">
        <v>36</v>
      </c>
    </row>
    <row r="266" spans="1:30" x14ac:dyDescent="0.2">
      <c r="A266" s="1">
        <v>139</v>
      </c>
      <c r="B266" t="s">
        <v>344</v>
      </c>
      <c r="C266">
        <f t="shared" si="4"/>
        <v>1</v>
      </c>
      <c r="D266" t="s">
        <v>156</v>
      </c>
      <c r="E266" s="1">
        <v>4</v>
      </c>
      <c r="F266" s="1">
        <v>60</v>
      </c>
      <c r="G266" s="1">
        <v>2</v>
      </c>
      <c r="H266" s="1">
        <v>876</v>
      </c>
      <c r="I266" t="s">
        <v>345</v>
      </c>
      <c r="L266" s="1">
        <v>0</v>
      </c>
      <c r="M266" s="1">
        <v>0</v>
      </c>
      <c r="N266" s="1">
        <v>0</v>
      </c>
      <c r="O266" s="1">
        <v>0</v>
      </c>
      <c r="T266" t="s">
        <v>191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AD266" t="s">
        <v>36</v>
      </c>
    </row>
    <row r="267" spans="1:30" x14ac:dyDescent="0.2">
      <c r="A267" s="1">
        <v>140</v>
      </c>
      <c r="B267" t="s">
        <v>344</v>
      </c>
      <c r="C267">
        <f t="shared" si="4"/>
        <v>1</v>
      </c>
      <c r="D267" t="s">
        <v>156</v>
      </c>
      <c r="E267" s="1">
        <v>4</v>
      </c>
      <c r="F267" s="1">
        <v>90</v>
      </c>
      <c r="G267" s="1">
        <v>2</v>
      </c>
      <c r="H267" s="1">
        <v>876</v>
      </c>
      <c r="I267" t="s">
        <v>345</v>
      </c>
      <c r="L267" s="1">
        <v>0</v>
      </c>
      <c r="M267" s="1">
        <v>0</v>
      </c>
      <c r="N267" s="1">
        <v>0</v>
      </c>
      <c r="O267" s="1">
        <v>0</v>
      </c>
      <c r="T267" t="s">
        <v>191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AD267" t="s">
        <v>36</v>
      </c>
    </row>
    <row r="268" spans="1:30" x14ac:dyDescent="0.2">
      <c r="A268" s="1">
        <v>123</v>
      </c>
      <c r="B268" t="s">
        <v>344</v>
      </c>
      <c r="C268">
        <f t="shared" si="4"/>
        <v>1</v>
      </c>
      <c r="D268" t="s">
        <v>156</v>
      </c>
      <c r="E268" s="1">
        <v>4</v>
      </c>
      <c r="F268" s="1">
        <v>120</v>
      </c>
      <c r="G268" s="1">
        <v>1</v>
      </c>
      <c r="H268" s="1">
        <v>800.52610922847998</v>
      </c>
      <c r="I268" t="s">
        <v>346</v>
      </c>
      <c r="J268" s="1">
        <v>800.52610922847998</v>
      </c>
      <c r="K268" t="s">
        <v>346</v>
      </c>
      <c r="L268" s="1">
        <v>72.752112444746004</v>
      </c>
      <c r="M268" s="1">
        <v>1</v>
      </c>
      <c r="N268" s="1">
        <v>4</v>
      </c>
      <c r="O268" s="1">
        <v>3.5</v>
      </c>
      <c r="P268" s="1">
        <v>72.752112444746004</v>
      </c>
      <c r="Q268" s="1">
        <v>1</v>
      </c>
      <c r="R268" s="1">
        <v>4</v>
      </c>
      <c r="S268" s="1">
        <v>3.5</v>
      </c>
      <c r="T268" t="s">
        <v>191</v>
      </c>
      <c r="U268" s="1">
        <v>1</v>
      </c>
      <c r="V268" s="1">
        <v>77.752112444746004</v>
      </c>
      <c r="W268" s="1">
        <v>311.00844977898402</v>
      </c>
      <c r="X268" s="1">
        <v>7.3945819213600004</v>
      </c>
      <c r="Y268" s="1">
        <v>0</v>
      </c>
      <c r="Z268" s="1">
        <v>77.752112444746004</v>
      </c>
      <c r="AA268" s="1">
        <v>311.00844977898402</v>
      </c>
      <c r="AB268" s="1">
        <v>7.3945819213600004</v>
      </c>
      <c r="AC268" s="1">
        <v>0</v>
      </c>
      <c r="AD268" t="s">
        <v>36</v>
      </c>
    </row>
    <row r="269" spans="1:30" x14ac:dyDescent="0.2">
      <c r="A269" s="1">
        <v>142</v>
      </c>
      <c r="B269" t="s">
        <v>344</v>
      </c>
      <c r="C269">
        <f t="shared" si="4"/>
        <v>1</v>
      </c>
      <c r="D269" t="s">
        <v>156</v>
      </c>
      <c r="E269" s="1">
        <v>8</v>
      </c>
      <c r="F269" s="1">
        <v>60</v>
      </c>
      <c r="G269" s="1">
        <v>1</v>
      </c>
      <c r="H269" s="1">
        <v>876</v>
      </c>
      <c r="I269" t="s">
        <v>347</v>
      </c>
      <c r="L269" s="1">
        <v>0</v>
      </c>
      <c r="M269" s="1">
        <v>0</v>
      </c>
      <c r="N269" s="1">
        <v>0</v>
      </c>
      <c r="O269" s="1">
        <v>0</v>
      </c>
      <c r="T269" t="s">
        <v>191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AD269" t="s">
        <v>36</v>
      </c>
    </row>
    <row r="270" spans="1:30" x14ac:dyDescent="0.2">
      <c r="A270" s="1">
        <v>143</v>
      </c>
      <c r="B270" t="s">
        <v>344</v>
      </c>
      <c r="C270">
        <f t="shared" si="4"/>
        <v>1</v>
      </c>
      <c r="D270" t="s">
        <v>156</v>
      </c>
      <c r="E270" s="1">
        <v>8</v>
      </c>
      <c r="F270" s="1">
        <v>90</v>
      </c>
      <c r="G270" s="1">
        <v>2</v>
      </c>
      <c r="H270" s="1">
        <v>786.54101966249698</v>
      </c>
      <c r="I270" t="s">
        <v>348</v>
      </c>
      <c r="L270" s="1">
        <v>70.790885989768995</v>
      </c>
      <c r="M270" s="1">
        <v>0</v>
      </c>
      <c r="N270" s="1">
        <v>4</v>
      </c>
      <c r="O270" s="1">
        <v>3.5</v>
      </c>
      <c r="T270" t="s">
        <v>191</v>
      </c>
      <c r="U270" s="1">
        <v>1</v>
      </c>
      <c r="V270" s="1">
        <v>75.790885989768995</v>
      </c>
      <c r="W270" s="1">
        <v>303.16354395907598</v>
      </c>
      <c r="X270" s="1">
        <v>12.491063270409001</v>
      </c>
      <c r="Y270" s="1">
        <v>0</v>
      </c>
      <c r="AD270" t="s">
        <v>36</v>
      </c>
    </row>
    <row r="271" spans="1:30" x14ac:dyDescent="0.2">
      <c r="A271" s="1">
        <v>126</v>
      </c>
      <c r="B271" t="s">
        <v>344</v>
      </c>
      <c r="C271">
        <f t="shared" si="4"/>
        <v>1</v>
      </c>
      <c r="D271" t="s">
        <v>156</v>
      </c>
      <c r="E271" s="1">
        <v>8</v>
      </c>
      <c r="F271" s="1">
        <v>120</v>
      </c>
      <c r="G271" s="1">
        <v>1</v>
      </c>
      <c r="H271" s="1">
        <v>786.54101966249698</v>
      </c>
      <c r="I271" t="s">
        <v>348</v>
      </c>
      <c r="J271" s="1">
        <v>796.622776601684</v>
      </c>
      <c r="K271" t="s">
        <v>349</v>
      </c>
      <c r="L271" s="1">
        <v>70.790885989768995</v>
      </c>
      <c r="M271" s="1">
        <v>0</v>
      </c>
      <c r="N271" s="1">
        <v>4</v>
      </c>
      <c r="O271" s="1">
        <v>3.5</v>
      </c>
      <c r="P271" s="1">
        <v>88.209091304210006</v>
      </c>
      <c r="Q271" s="1">
        <v>1</v>
      </c>
      <c r="R271" s="1">
        <v>4</v>
      </c>
      <c r="S271" s="1">
        <v>5.25</v>
      </c>
      <c r="T271" t="s">
        <v>191</v>
      </c>
      <c r="U271" s="1">
        <v>1</v>
      </c>
      <c r="V271" s="1">
        <v>75.790885989768995</v>
      </c>
      <c r="W271" s="1">
        <v>303.16354395907598</v>
      </c>
      <c r="X271" s="1">
        <v>12.491063270409001</v>
      </c>
      <c r="Y271" s="1">
        <v>0</v>
      </c>
      <c r="Z271" s="1">
        <v>94.459091304210006</v>
      </c>
      <c r="AA271" s="1">
        <v>377.83636521684002</v>
      </c>
      <c r="AB271" s="1">
        <v>19.756440392323</v>
      </c>
      <c r="AC271" s="1">
        <v>0</v>
      </c>
      <c r="AD271" t="s">
        <v>36</v>
      </c>
    </row>
    <row r="272" spans="1:30" x14ac:dyDescent="0.2">
      <c r="A272" s="1">
        <v>145</v>
      </c>
      <c r="B272" t="s">
        <v>350</v>
      </c>
      <c r="C272">
        <f t="shared" si="4"/>
        <v>2.5</v>
      </c>
      <c r="D272" t="s">
        <v>156</v>
      </c>
      <c r="E272" s="1">
        <v>4</v>
      </c>
      <c r="F272" s="1">
        <v>60</v>
      </c>
      <c r="G272" s="1">
        <v>1</v>
      </c>
      <c r="H272" s="1">
        <v>1405</v>
      </c>
      <c r="I272" t="s">
        <v>351</v>
      </c>
      <c r="L272" s="1">
        <v>0</v>
      </c>
      <c r="M272" s="1">
        <v>0</v>
      </c>
      <c r="N272" s="1">
        <v>0</v>
      </c>
      <c r="O272" s="1">
        <v>0</v>
      </c>
      <c r="T272" t="s">
        <v>191</v>
      </c>
      <c r="U272" s="1">
        <v>2.5</v>
      </c>
      <c r="V272" s="1">
        <v>0</v>
      </c>
      <c r="W272" s="1">
        <v>0</v>
      </c>
      <c r="X272" s="1">
        <v>0</v>
      </c>
      <c r="Y272" s="1">
        <v>0</v>
      </c>
      <c r="AD272" t="s">
        <v>36</v>
      </c>
    </row>
    <row r="273" spans="1:30" x14ac:dyDescent="0.2">
      <c r="A273" s="1">
        <v>128</v>
      </c>
      <c r="B273" t="s">
        <v>350</v>
      </c>
      <c r="C273">
        <f t="shared" si="4"/>
        <v>2.5</v>
      </c>
      <c r="D273" t="s">
        <v>156</v>
      </c>
      <c r="E273" s="1">
        <v>4</v>
      </c>
      <c r="F273" s="1">
        <v>90</v>
      </c>
      <c r="G273" s="1">
        <v>1</v>
      </c>
      <c r="H273" s="1">
        <v>1405</v>
      </c>
      <c r="I273" t="s">
        <v>351</v>
      </c>
      <c r="L273" s="1">
        <v>0</v>
      </c>
      <c r="M273" s="1">
        <v>0</v>
      </c>
      <c r="N273" s="1">
        <v>0</v>
      </c>
      <c r="O273" s="1">
        <v>0</v>
      </c>
      <c r="T273" t="s">
        <v>191</v>
      </c>
      <c r="U273" s="1">
        <v>2.5</v>
      </c>
      <c r="V273" s="1">
        <v>0</v>
      </c>
      <c r="W273" s="1">
        <v>0</v>
      </c>
      <c r="X273" s="1">
        <v>0</v>
      </c>
      <c r="Y273" s="1">
        <v>0</v>
      </c>
      <c r="AD273" t="s">
        <v>36</v>
      </c>
    </row>
    <row r="274" spans="1:30" x14ac:dyDescent="0.2">
      <c r="A274" s="1">
        <v>129</v>
      </c>
      <c r="B274" t="s">
        <v>350</v>
      </c>
      <c r="C274">
        <f t="shared" si="4"/>
        <v>2.5</v>
      </c>
      <c r="D274" t="s">
        <v>156</v>
      </c>
      <c r="E274" s="1">
        <v>4</v>
      </c>
      <c r="F274" s="1">
        <v>120</v>
      </c>
      <c r="G274" s="1">
        <v>1</v>
      </c>
      <c r="H274" s="1">
        <v>1327</v>
      </c>
      <c r="I274" t="s">
        <v>352</v>
      </c>
      <c r="J274" s="1">
        <v>1327</v>
      </c>
      <c r="K274" t="s">
        <v>352</v>
      </c>
      <c r="L274" s="1">
        <v>80.562225807375995</v>
      </c>
      <c r="M274" s="1">
        <v>1</v>
      </c>
      <c r="N274" s="1">
        <v>7</v>
      </c>
      <c r="O274" s="1">
        <v>3.5714285714290002</v>
      </c>
      <c r="P274" s="1">
        <v>80.562225807375995</v>
      </c>
      <c r="Q274" s="1">
        <v>1</v>
      </c>
      <c r="R274" s="1">
        <v>7</v>
      </c>
      <c r="S274" s="1">
        <v>3.5714285714290002</v>
      </c>
      <c r="T274" t="s">
        <v>191</v>
      </c>
      <c r="U274" s="1">
        <v>2.5</v>
      </c>
      <c r="V274" s="1">
        <v>85.562225807375995</v>
      </c>
      <c r="W274" s="1">
        <v>598.93558065163199</v>
      </c>
      <c r="X274" s="1">
        <v>5.2869673221370004</v>
      </c>
      <c r="Y274" s="1">
        <v>0</v>
      </c>
      <c r="Z274" s="1">
        <v>85.562225807375995</v>
      </c>
      <c r="AA274" s="1">
        <v>598.93558065163199</v>
      </c>
      <c r="AB274" s="1">
        <v>5.2869673221370004</v>
      </c>
      <c r="AC274" s="1">
        <v>0</v>
      </c>
      <c r="AD274" t="s">
        <v>36</v>
      </c>
    </row>
    <row r="275" spans="1:30" x14ac:dyDescent="0.2">
      <c r="A275" s="1">
        <v>148</v>
      </c>
      <c r="B275" t="s">
        <v>350</v>
      </c>
      <c r="C275">
        <f t="shared" si="4"/>
        <v>2.5</v>
      </c>
      <c r="D275" t="s">
        <v>156</v>
      </c>
      <c r="E275" s="1">
        <v>8</v>
      </c>
      <c r="F275" s="1">
        <v>60</v>
      </c>
      <c r="G275" s="1">
        <v>1</v>
      </c>
      <c r="H275" s="1">
        <v>1405</v>
      </c>
      <c r="I275" t="s">
        <v>351</v>
      </c>
      <c r="L275" s="1">
        <v>0</v>
      </c>
      <c r="M275" s="1">
        <v>0</v>
      </c>
      <c r="N275" s="1">
        <v>0</v>
      </c>
      <c r="O275" s="1">
        <v>0</v>
      </c>
      <c r="T275" t="s">
        <v>191</v>
      </c>
      <c r="U275" s="1">
        <v>2.5</v>
      </c>
      <c r="V275" s="1">
        <v>0</v>
      </c>
      <c r="W275" s="1">
        <v>0</v>
      </c>
      <c r="X275" s="1">
        <v>0</v>
      </c>
      <c r="Y275" s="1">
        <v>0</v>
      </c>
      <c r="AD275" t="s">
        <v>36</v>
      </c>
    </row>
    <row r="276" spans="1:30" x14ac:dyDescent="0.2">
      <c r="A276" s="1">
        <v>149</v>
      </c>
      <c r="B276" t="s">
        <v>350</v>
      </c>
      <c r="C276">
        <f t="shared" si="4"/>
        <v>2.5</v>
      </c>
      <c r="D276" t="s">
        <v>156</v>
      </c>
      <c r="E276" s="1">
        <v>8</v>
      </c>
      <c r="F276" s="1">
        <v>90</v>
      </c>
      <c r="G276" s="1">
        <v>1</v>
      </c>
      <c r="H276" s="1">
        <v>1290.8058436014901</v>
      </c>
      <c r="I276" t="s">
        <v>353</v>
      </c>
      <c r="L276" s="1">
        <v>69.944063296853997</v>
      </c>
      <c r="M276" s="1">
        <v>0</v>
      </c>
      <c r="N276" s="1">
        <v>7</v>
      </c>
      <c r="O276" s="1">
        <v>3.5714285714290002</v>
      </c>
      <c r="T276" t="s">
        <v>191</v>
      </c>
      <c r="U276" s="1">
        <v>2.5</v>
      </c>
      <c r="V276" s="1">
        <v>74.944063296853997</v>
      </c>
      <c r="W276" s="1">
        <v>524.608443077978</v>
      </c>
      <c r="X276" s="1">
        <v>20.257977657356999</v>
      </c>
      <c r="Y276" s="1">
        <v>0</v>
      </c>
      <c r="AD276" t="s">
        <v>36</v>
      </c>
    </row>
    <row r="277" spans="1:30" x14ac:dyDescent="0.2">
      <c r="A277" s="1">
        <v>149</v>
      </c>
      <c r="B277" t="s">
        <v>350</v>
      </c>
      <c r="C277">
        <f t="shared" si="4"/>
        <v>2.5</v>
      </c>
      <c r="D277" t="s">
        <v>156</v>
      </c>
      <c r="E277" s="1">
        <v>8</v>
      </c>
      <c r="F277" s="1">
        <v>120</v>
      </c>
      <c r="G277" s="1">
        <v>1</v>
      </c>
      <c r="H277" s="1">
        <v>1290.8058436014901</v>
      </c>
      <c r="I277" t="s">
        <v>353</v>
      </c>
      <c r="L277" s="1">
        <v>69.944063296853997</v>
      </c>
      <c r="M277" s="1">
        <v>0</v>
      </c>
      <c r="N277" s="1">
        <v>7</v>
      </c>
      <c r="O277" s="1">
        <v>3.5714285714290002</v>
      </c>
      <c r="T277" t="s">
        <v>191</v>
      </c>
      <c r="U277" s="1">
        <v>2.5</v>
      </c>
      <c r="V277" s="1">
        <v>74.944063296853997</v>
      </c>
      <c r="W277" s="1">
        <v>524.608443077978</v>
      </c>
      <c r="X277" s="1">
        <v>20.257977657356999</v>
      </c>
      <c r="Y277" s="1">
        <v>0</v>
      </c>
      <c r="AD277" t="s">
        <v>36</v>
      </c>
    </row>
    <row r="278" spans="1:30" x14ac:dyDescent="0.2">
      <c r="A278" s="1">
        <v>151</v>
      </c>
      <c r="B278" t="s">
        <v>354</v>
      </c>
      <c r="C278">
        <f t="shared" si="4"/>
        <v>2</v>
      </c>
      <c r="D278" t="s">
        <v>156</v>
      </c>
      <c r="E278" s="1">
        <v>4</v>
      </c>
      <c r="F278" s="1">
        <v>60</v>
      </c>
      <c r="G278" s="1">
        <v>1</v>
      </c>
      <c r="H278" s="1">
        <v>1229</v>
      </c>
      <c r="I278" t="s">
        <v>355</v>
      </c>
      <c r="L278" s="1">
        <v>0</v>
      </c>
      <c r="M278" s="1">
        <v>0</v>
      </c>
      <c r="N278" s="1">
        <v>0</v>
      </c>
      <c r="O278" s="1">
        <v>0</v>
      </c>
      <c r="T278" t="s">
        <v>191</v>
      </c>
      <c r="U278" s="1">
        <v>2</v>
      </c>
      <c r="V278" s="1">
        <v>0</v>
      </c>
      <c r="W278" s="1">
        <v>0</v>
      </c>
      <c r="X278" s="1">
        <v>0</v>
      </c>
      <c r="Y278" s="1">
        <v>0</v>
      </c>
      <c r="AD278" t="s">
        <v>36</v>
      </c>
    </row>
    <row r="279" spans="1:30" x14ac:dyDescent="0.2">
      <c r="A279" s="1">
        <v>152</v>
      </c>
      <c r="B279" t="s">
        <v>354</v>
      </c>
      <c r="C279">
        <f t="shared" si="4"/>
        <v>2</v>
      </c>
      <c r="D279" t="s">
        <v>156</v>
      </c>
      <c r="E279" s="1">
        <v>4</v>
      </c>
      <c r="F279" s="1">
        <v>90</v>
      </c>
      <c r="G279" s="1">
        <v>1</v>
      </c>
      <c r="H279" s="1">
        <v>1212.8058436014901</v>
      </c>
      <c r="I279" t="s">
        <v>356</v>
      </c>
      <c r="L279" s="1">
        <v>70.533722369073999</v>
      </c>
      <c r="M279" s="1">
        <v>0</v>
      </c>
      <c r="N279" s="1">
        <v>4</v>
      </c>
      <c r="O279" s="1">
        <v>3.25</v>
      </c>
      <c r="T279" t="s">
        <v>191</v>
      </c>
      <c r="U279" s="1">
        <v>2</v>
      </c>
      <c r="V279" s="1">
        <v>75.533722369073999</v>
      </c>
      <c r="W279" s="1">
        <v>302.134889476296</v>
      </c>
      <c r="X279" s="1">
        <v>1.2014609003750001</v>
      </c>
      <c r="Y279" s="1">
        <v>0</v>
      </c>
      <c r="AD279" t="s">
        <v>36</v>
      </c>
    </row>
    <row r="280" spans="1:30" x14ac:dyDescent="0.2">
      <c r="A280" s="1">
        <v>153</v>
      </c>
      <c r="B280" t="s">
        <v>354</v>
      </c>
      <c r="C280">
        <f t="shared" si="4"/>
        <v>2</v>
      </c>
      <c r="D280" t="s">
        <v>156</v>
      </c>
      <c r="E280" s="1">
        <v>4</v>
      </c>
      <c r="F280" s="1">
        <v>120</v>
      </c>
      <c r="G280" s="1">
        <v>1</v>
      </c>
      <c r="H280" s="1">
        <v>1212.8058436014901</v>
      </c>
      <c r="I280" t="s">
        <v>356</v>
      </c>
      <c r="L280" s="1">
        <v>70.533722369073999</v>
      </c>
      <c r="M280" s="1">
        <v>0</v>
      </c>
      <c r="N280" s="1">
        <v>4</v>
      </c>
      <c r="O280" s="1">
        <v>3.25</v>
      </c>
      <c r="T280" t="s">
        <v>191</v>
      </c>
      <c r="U280" s="1">
        <v>2</v>
      </c>
      <c r="V280" s="1">
        <v>75.533722369073999</v>
      </c>
      <c r="W280" s="1">
        <v>302.134889476296</v>
      </c>
      <c r="X280" s="1">
        <v>1.2014609003750001</v>
      </c>
      <c r="Y280" s="1">
        <v>0</v>
      </c>
      <c r="AD280" t="s">
        <v>36</v>
      </c>
    </row>
    <row r="281" spans="1:30" x14ac:dyDescent="0.2">
      <c r="A281" s="1">
        <v>154</v>
      </c>
      <c r="B281" t="s">
        <v>354</v>
      </c>
      <c r="C281">
        <f t="shared" si="4"/>
        <v>2</v>
      </c>
      <c r="D281" t="s">
        <v>156</v>
      </c>
      <c r="E281" s="1">
        <v>8</v>
      </c>
      <c r="F281" s="1">
        <v>60</v>
      </c>
      <c r="G281" s="1">
        <v>2</v>
      </c>
      <c r="H281" s="1">
        <v>1229</v>
      </c>
      <c r="I281" t="s">
        <v>357</v>
      </c>
      <c r="L281" s="1">
        <v>0</v>
      </c>
      <c r="M281" s="1">
        <v>0</v>
      </c>
      <c r="N281" s="1">
        <v>0</v>
      </c>
      <c r="O281" s="1">
        <v>0</v>
      </c>
      <c r="T281" t="s">
        <v>191</v>
      </c>
      <c r="U281" s="1">
        <v>2</v>
      </c>
      <c r="V281" s="1">
        <v>0</v>
      </c>
      <c r="W281" s="1">
        <v>0</v>
      </c>
      <c r="X281" s="1">
        <v>0</v>
      </c>
      <c r="Y281" s="1">
        <v>0</v>
      </c>
      <c r="AD281" t="s">
        <v>36</v>
      </c>
    </row>
    <row r="282" spans="1:30" x14ac:dyDescent="0.2">
      <c r="A282" s="1">
        <v>155</v>
      </c>
      <c r="B282" t="s">
        <v>354</v>
      </c>
      <c r="C282">
        <f t="shared" si="4"/>
        <v>2</v>
      </c>
      <c r="D282" t="s">
        <v>156</v>
      </c>
      <c r="E282" s="1">
        <v>8</v>
      </c>
      <c r="F282" s="1">
        <v>90</v>
      </c>
      <c r="G282" s="1">
        <v>1</v>
      </c>
      <c r="H282" s="1">
        <v>1212.8058436014901</v>
      </c>
      <c r="I282" t="s">
        <v>356</v>
      </c>
      <c r="L282" s="1">
        <v>70.533722369073999</v>
      </c>
      <c r="M282" s="1">
        <v>0</v>
      </c>
      <c r="N282" s="1">
        <v>4</v>
      </c>
      <c r="O282" s="1">
        <v>3.25</v>
      </c>
      <c r="T282" t="s">
        <v>191</v>
      </c>
      <c r="U282" s="1">
        <v>2</v>
      </c>
      <c r="V282" s="1">
        <v>75.533722369073999</v>
      </c>
      <c r="W282" s="1">
        <v>302.134889476296</v>
      </c>
      <c r="X282" s="1">
        <v>1.2014609003750001</v>
      </c>
      <c r="Y282" s="1">
        <v>0</v>
      </c>
      <c r="AD282" t="s">
        <v>36</v>
      </c>
    </row>
    <row r="283" spans="1:30" x14ac:dyDescent="0.2">
      <c r="A283" s="1">
        <v>156</v>
      </c>
      <c r="B283" t="s">
        <v>354</v>
      </c>
      <c r="C283">
        <f t="shared" si="4"/>
        <v>2</v>
      </c>
      <c r="D283" t="s">
        <v>156</v>
      </c>
      <c r="E283" s="1">
        <v>8</v>
      </c>
      <c r="F283" s="1">
        <v>120</v>
      </c>
      <c r="G283" s="1">
        <v>1</v>
      </c>
      <c r="H283" s="1">
        <v>1212.8058436014901</v>
      </c>
      <c r="I283" t="s">
        <v>356</v>
      </c>
      <c r="L283" s="1">
        <v>70.533722369073999</v>
      </c>
      <c r="M283" s="1">
        <v>0</v>
      </c>
      <c r="N283" s="1">
        <v>4</v>
      </c>
      <c r="O283" s="1">
        <v>3.25</v>
      </c>
      <c r="T283" t="s">
        <v>191</v>
      </c>
      <c r="U283" s="1">
        <v>2</v>
      </c>
      <c r="V283" s="1">
        <v>75.533722369073999</v>
      </c>
      <c r="W283" s="1">
        <v>302.134889476296</v>
      </c>
      <c r="X283" s="1">
        <v>1.2014609003750001</v>
      </c>
      <c r="Y283" s="1">
        <v>0</v>
      </c>
      <c r="AD283" t="s">
        <v>36</v>
      </c>
    </row>
    <row r="284" spans="1:30" x14ac:dyDescent="0.2">
      <c r="A284" s="1">
        <v>157</v>
      </c>
      <c r="B284" t="s">
        <v>358</v>
      </c>
      <c r="C284">
        <f t="shared" si="4"/>
        <v>3</v>
      </c>
      <c r="D284" t="s">
        <v>156</v>
      </c>
      <c r="E284" s="1">
        <v>4</v>
      </c>
      <c r="F284" s="1">
        <v>60</v>
      </c>
      <c r="G284" s="1">
        <v>3</v>
      </c>
      <c r="H284" s="1">
        <v>1581</v>
      </c>
      <c r="I284" t="s">
        <v>359</v>
      </c>
      <c r="L284" s="1">
        <v>0</v>
      </c>
      <c r="M284" s="1">
        <v>0</v>
      </c>
      <c r="N284" s="1">
        <v>0</v>
      </c>
      <c r="O284" s="1">
        <v>0</v>
      </c>
      <c r="T284" t="s">
        <v>191</v>
      </c>
      <c r="U284" s="1">
        <v>3</v>
      </c>
      <c r="V284" s="1">
        <v>0</v>
      </c>
      <c r="W284" s="1">
        <v>0</v>
      </c>
      <c r="X284" s="1">
        <v>0</v>
      </c>
      <c r="Y284" s="1">
        <v>0</v>
      </c>
      <c r="AD284" t="s">
        <v>36</v>
      </c>
    </row>
    <row r="285" spans="1:30" x14ac:dyDescent="0.2">
      <c r="A285" s="1">
        <v>158</v>
      </c>
      <c r="B285" t="s">
        <v>358</v>
      </c>
      <c r="C285">
        <f t="shared" si="4"/>
        <v>3</v>
      </c>
      <c r="D285" t="s">
        <v>156</v>
      </c>
      <c r="E285" s="1">
        <v>4</v>
      </c>
      <c r="F285" s="1">
        <v>90</v>
      </c>
      <c r="G285" s="1">
        <v>1</v>
      </c>
      <c r="H285" s="1">
        <v>1477</v>
      </c>
      <c r="I285" t="s">
        <v>360</v>
      </c>
      <c r="L285" s="1">
        <v>71.178029935699001</v>
      </c>
      <c r="M285" s="1">
        <v>0</v>
      </c>
      <c r="N285" s="1">
        <v>4</v>
      </c>
      <c r="O285" s="1">
        <v>3.25</v>
      </c>
      <c r="T285" t="s">
        <v>191</v>
      </c>
      <c r="U285" s="1">
        <v>3</v>
      </c>
      <c r="V285" s="1">
        <v>76.178029935699001</v>
      </c>
      <c r="W285" s="1">
        <v>304.71211974279601</v>
      </c>
      <c r="X285" s="1">
        <v>23.655694150420999</v>
      </c>
      <c r="Y285" s="1">
        <v>0</v>
      </c>
      <c r="AD285" t="s">
        <v>36</v>
      </c>
    </row>
    <row r="286" spans="1:30" x14ac:dyDescent="0.2">
      <c r="A286" s="1">
        <v>159</v>
      </c>
      <c r="B286" t="s">
        <v>358</v>
      </c>
      <c r="C286">
        <f t="shared" si="4"/>
        <v>3</v>
      </c>
      <c r="D286" t="s">
        <v>156</v>
      </c>
      <c r="E286" s="1">
        <v>4</v>
      </c>
      <c r="F286" s="1">
        <v>120</v>
      </c>
      <c r="G286" s="1">
        <v>1</v>
      </c>
      <c r="H286" s="1">
        <v>1477</v>
      </c>
      <c r="I286" t="s">
        <v>360</v>
      </c>
      <c r="L286" s="1">
        <v>71.178029935699001</v>
      </c>
      <c r="M286" s="1">
        <v>0</v>
      </c>
      <c r="N286" s="1">
        <v>4</v>
      </c>
      <c r="O286" s="1">
        <v>3.25</v>
      </c>
      <c r="T286" t="s">
        <v>191</v>
      </c>
      <c r="U286" s="1">
        <v>3</v>
      </c>
      <c r="V286" s="1">
        <v>76.178029935699001</v>
      </c>
      <c r="W286" s="1">
        <v>304.71211974279601</v>
      </c>
      <c r="X286" s="1">
        <v>23.655694150420999</v>
      </c>
      <c r="Y286" s="1">
        <v>0</v>
      </c>
      <c r="AD286" t="s">
        <v>36</v>
      </c>
    </row>
    <row r="287" spans="1:30" x14ac:dyDescent="0.2">
      <c r="A287" s="1">
        <v>160</v>
      </c>
      <c r="B287" t="s">
        <v>358</v>
      </c>
      <c r="C287">
        <f t="shared" si="4"/>
        <v>3</v>
      </c>
      <c r="D287" t="s">
        <v>156</v>
      </c>
      <c r="E287" s="1">
        <v>8</v>
      </c>
      <c r="F287" s="1">
        <v>60</v>
      </c>
      <c r="G287" s="1">
        <v>1</v>
      </c>
      <c r="H287" s="1">
        <v>1581</v>
      </c>
      <c r="I287" t="s">
        <v>361</v>
      </c>
      <c r="L287" s="1">
        <v>0</v>
      </c>
      <c r="M287" s="1">
        <v>0</v>
      </c>
      <c r="N287" s="1">
        <v>0</v>
      </c>
      <c r="O287" s="1">
        <v>0</v>
      </c>
      <c r="T287" t="s">
        <v>191</v>
      </c>
      <c r="U287" s="1">
        <v>3</v>
      </c>
      <c r="V287" s="1">
        <v>0</v>
      </c>
      <c r="W287" s="1">
        <v>0</v>
      </c>
      <c r="X287" s="1">
        <v>0</v>
      </c>
      <c r="Y287" s="1">
        <v>0</v>
      </c>
      <c r="AD287" t="s">
        <v>36</v>
      </c>
    </row>
    <row r="288" spans="1:30" x14ac:dyDescent="0.2">
      <c r="A288" s="1">
        <v>161</v>
      </c>
      <c r="B288" t="s">
        <v>358</v>
      </c>
      <c r="C288">
        <f t="shared" si="4"/>
        <v>3</v>
      </c>
      <c r="D288" t="s">
        <v>156</v>
      </c>
      <c r="E288" s="1">
        <v>8</v>
      </c>
      <c r="F288" s="1">
        <v>90</v>
      </c>
      <c r="G288" s="1">
        <v>1</v>
      </c>
      <c r="H288" s="1">
        <v>1477</v>
      </c>
      <c r="I288" t="s">
        <v>362</v>
      </c>
      <c r="L288" s="1">
        <v>72.497893832287005</v>
      </c>
      <c r="M288" s="1">
        <v>0</v>
      </c>
      <c r="N288" s="1">
        <v>5</v>
      </c>
      <c r="O288" s="1">
        <v>5.6</v>
      </c>
      <c r="T288" t="s">
        <v>191</v>
      </c>
      <c r="U288" s="1">
        <v>3</v>
      </c>
      <c r="V288" s="1">
        <v>77.497893832287005</v>
      </c>
      <c r="W288" s="1">
        <v>387.48946916143501</v>
      </c>
      <c r="X288" s="1">
        <v>12.924555320336999</v>
      </c>
      <c r="Y288" s="1">
        <v>0</v>
      </c>
      <c r="AD288" t="s">
        <v>36</v>
      </c>
    </row>
    <row r="289" spans="1:30" x14ac:dyDescent="0.2">
      <c r="A289" s="1">
        <v>162</v>
      </c>
      <c r="B289" t="s">
        <v>358</v>
      </c>
      <c r="C289">
        <f t="shared" si="4"/>
        <v>3</v>
      </c>
      <c r="D289" t="s">
        <v>156</v>
      </c>
      <c r="E289" s="1">
        <v>8</v>
      </c>
      <c r="F289" s="1">
        <v>120</v>
      </c>
      <c r="G289" s="1">
        <v>1</v>
      </c>
      <c r="H289" s="1">
        <v>1477</v>
      </c>
      <c r="I289" t="s">
        <v>360</v>
      </c>
      <c r="L289" s="1">
        <v>71.178029935699001</v>
      </c>
      <c r="M289" s="1">
        <v>0</v>
      </c>
      <c r="N289" s="1">
        <v>4</v>
      </c>
      <c r="O289" s="1">
        <v>3.25</v>
      </c>
      <c r="T289" t="s">
        <v>191</v>
      </c>
      <c r="U289" s="1">
        <v>3</v>
      </c>
      <c r="V289" s="1">
        <v>76.178029935699001</v>
      </c>
      <c r="W289" s="1">
        <v>304.71211974279601</v>
      </c>
      <c r="X289" s="1">
        <v>23.655694150420999</v>
      </c>
      <c r="Y289" s="1">
        <v>0</v>
      </c>
      <c r="AD28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50_batch_all_valid_merged_dedup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2026-03-30T20:24:53Z</dcterms:created>
  <dcterms:modified xsi:type="dcterms:W3CDTF">2026-03-31T11:20:29Z</dcterms:modified>
</cp:coreProperties>
</file>